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GitHub\_COURSES\2026_2\pm-course-2026\"/>
    </mc:Choice>
  </mc:AlternateContent>
  <xr:revisionPtr revIDLastSave="0" documentId="13_ncr:1_{BDD5236E-196C-4F3C-A41D-BF1BB5A8A216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Программа" sheetId="6" r:id="rId1"/>
    <sheet name="23-MK" sheetId="2" r:id="rId2"/>
    <sheet name="23-MKK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7" l="1"/>
  <c r="B26" i="7"/>
  <c r="B27" i="7"/>
  <c r="B28" i="7"/>
  <c r="B29" i="7"/>
  <c r="B30" i="7"/>
  <c r="B31" i="7"/>
  <c r="B32" i="7"/>
  <c r="B33" i="7"/>
  <c r="B34" i="7"/>
  <c r="B35" i="7"/>
  <c r="B36" i="7"/>
  <c r="B37" i="7"/>
  <c r="AG38" i="7"/>
  <c r="AH38" i="7"/>
  <c r="AI38" i="7"/>
  <c r="AM38" i="7"/>
  <c r="AN38" i="7"/>
  <c r="AO38" i="7"/>
  <c r="U5" i="2" l="1"/>
  <c r="AA5" i="2" s="1"/>
  <c r="AE5" i="2" s="1"/>
  <c r="AG5" i="2" s="1"/>
  <c r="Y5" i="2"/>
  <c r="U6" i="2"/>
  <c r="U7" i="2"/>
  <c r="U8" i="2"/>
  <c r="U9" i="2"/>
  <c r="AA9" i="2" s="1"/>
  <c r="AE9" i="2" s="1"/>
  <c r="AG9" i="2" s="1"/>
  <c r="Y9" i="2"/>
  <c r="U10" i="2"/>
  <c r="AA10" i="2" s="1"/>
  <c r="AE10" i="2" s="1"/>
  <c r="AG10" i="2" s="1"/>
  <c r="Y10" i="2"/>
  <c r="U11" i="2"/>
  <c r="U12" i="2"/>
  <c r="Y12" i="2" s="1"/>
  <c r="U13" i="2"/>
  <c r="U14" i="2"/>
  <c r="AA14" i="2" s="1"/>
  <c r="AE14" i="2" s="1"/>
  <c r="AG14" i="2" s="1"/>
  <c r="Y14" i="2"/>
  <c r="U15" i="2"/>
  <c r="U16" i="2"/>
  <c r="W16" i="2" s="1"/>
  <c r="Y16" i="2" s="1"/>
  <c r="U17" i="2"/>
  <c r="AU38" i="7"/>
  <c r="AT38" i="7"/>
  <c r="AS38" i="7"/>
  <c r="AR38" i="7"/>
  <c r="AQ38" i="7"/>
  <c r="AP38" i="7"/>
  <c r="AL38" i="7"/>
  <c r="AK38" i="7"/>
  <c r="AJ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A37" i="7"/>
  <c r="AZ37" i="7"/>
  <c r="AY37" i="7"/>
  <c r="AX37" i="7"/>
  <c r="AW37" i="7"/>
  <c r="AV37" i="7"/>
  <c r="BA36" i="7"/>
  <c r="AZ36" i="7"/>
  <c r="AY36" i="7"/>
  <c r="AX36" i="7"/>
  <c r="AW36" i="7"/>
  <c r="AV36" i="7"/>
  <c r="BA35" i="7"/>
  <c r="AZ35" i="7"/>
  <c r="AY35" i="7"/>
  <c r="AX35" i="7"/>
  <c r="AW35" i="7"/>
  <c r="AV35" i="7"/>
  <c r="BA34" i="7"/>
  <c r="AZ34" i="7"/>
  <c r="AY34" i="7"/>
  <c r="AX34" i="7"/>
  <c r="AW34" i="7"/>
  <c r="AV34" i="7"/>
  <c r="BA33" i="7"/>
  <c r="AZ33" i="7"/>
  <c r="AY33" i="7"/>
  <c r="AX33" i="7"/>
  <c r="AW33" i="7"/>
  <c r="AV33" i="7"/>
  <c r="BA32" i="7"/>
  <c r="AZ32" i="7"/>
  <c r="AY32" i="7"/>
  <c r="AX32" i="7"/>
  <c r="AW32" i="7"/>
  <c r="AV32" i="7"/>
  <c r="BA31" i="7"/>
  <c r="AZ31" i="7"/>
  <c r="AY31" i="7"/>
  <c r="AX31" i="7"/>
  <c r="AW31" i="7"/>
  <c r="AV31" i="7"/>
  <c r="BA30" i="7"/>
  <c r="AZ30" i="7"/>
  <c r="AY30" i="7"/>
  <c r="AX30" i="7"/>
  <c r="AW30" i="7"/>
  <c r="AV30" i="7"/>
  <c r="BA29" i="7"/>
  <c r="AZ29" i="7"/>
  <c r="AY29" i="7"/>
  <c r="AX29" i="7"/>
  <c r="AW29" i="7"/>
  <c r="AV29" i="7"/>
  <c r="BA28" i="7"/>
  <c r="AZ28" i="7"/>
  <c r="AY28" i="7"/>
  <c r="AX28" i="7"/>
  <c r="AW28" i="7"/>
  <c r="AV28" i="7"/>
  <c r="BA27" i="7"/>
  <c r="AZ27" i="7"/>
  <c r="AY27" i="7"/>
  <c r="AX27" i="7"/>
  <c r="AW27" i="7"/>
  <c r="AV27" i="7"/>
  <c r="BA26" i="7"/>
  <c r="AZ26" i="7"/>
  <c r="AY26" i="7"/>
  <c r="AX26" i="7"/>
  <c r="AW26" i="7"/>
  <c r="AV26" i="7"/>
  <c r="BA25" i="7"/>
  <c r="AZ25" i="7"/>
  <c r="AY25" i="7"/>
  <c r="AX25" i="7"/>
  <c r="AW25" i="7"/>
  <c r="AV25" i="7"/>
  <c r="BA24" i="7"/>
  <c r="AZ24" i="7"/>
  <c r="AY24" i="7"/>
  <c r="AX24" i="7"/>
  <c r="AW24" i="7"/>
  <c r="AV24" i="7"/>
  <c r="B24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AV25" i="2"/>
  <c r="AW25" i="2"/>
  <c r="AX25" i="2"/>
  <c r="AY25" i="2"/>
  <c r="AZ25" i="2"/>
  <c r="BA25" i="2"/>
  <c r="AV26" i="2"/>
  <c r="AW26" i="2"/>
  <c r="AX26" i="2"/>
  <c r="AY26" i="2"/>
  <c r="AZ26" i="2"/>
  <c r="BA26" i="2"/>
  <c r="AV27" i="2"/>
  <c r="AW27" i="2"/>
  <c r="AX27" i="2"/>
  <c r="AY27" i="2"/>
  <c r="AZ27" i="2"/>
  <c r="BA27" i="2"/>
  <c r="AV28" i="2"/>
  <c r="AW28" i="2"/>
  <c r="AX28" i="2"/>
  <c r="AY28" i="2"/>
  <c r="AZ28" i="2"/>
  <c r="BA28" i="2"/>
  <c r="AV29" i="2"/>
  <c r="AW29" i="2"/>
  <c r="AX29" i="2"/>
  <c r="AY29" i="2"/>
  <c r="AZ29" i="2"/>
  <c r="BA29" i="2"/>
  <c r="AV30" i="2"/>
  <c r="AW30" i="2"/>
  <c r="AX30" i="2"/>
  <c r="AY30" i="2"/>
  <c r="AZ30" i="2"/>
  <c r="BA30" i="2"/>
  <c r="AV31" i="2"/>
  <c r="AW31" i="2"/>
  <c r="AX31" i="2"/>
  <c r="AY31" i="2"/>
  <c r="AZ31" i="2"/>
  <c r="BA31" i="2"/>
  <c r="AV32" i="2"/>
  <c r="AW32" i="2"/>
  <c r="AX32" i="2"/>
  <c r="AY32" i="2"/>
  <c r="AZ32" i="2"/>
  <c r="BA32" i="2"/>
  <c r="AV33" i="2"/>
  <c r="AW33" i="2"/>
  <c r="AX33" i="2"/>
  <c r="AY33" i="2"/>
  <c r="AZ33" i="2"/>
  <c r="BA33" i="2"/>
  <c r="AV34" i="2"/>
  <c r="AW34" i="2"/>
  <c r="AX34" i="2"/>
  <c r="AY34" i="2"/>
  <c r="AZ34" i="2"/>
  <c r="BA34" i="2"/>
  <c r="AV35" i="2"/>
  <c r="AW35" i="2"/>
  <c r="AX35" i="2"/>
  <c r="AY35" i="2"/>
  <c r="AZ35" i="2"/>
  <c r="BA35" i="2"/>
  <c r="AV36" i="2"/>
  <c r="AW36" i="2"/>
  <c r="AX36" i="2"/>
  <c r="AY36" i="2"/>
  <c r="AZ36" i="2"/>
  <c r="BA36" i="2"/>
  <c r="AV37" i="2"/>
  <c r="AW37" i="2"/>
  <c r="AX37" i="2"/>
  <c r="AY37" i="2"/>
  <c r="AZ37" i="2"/>
  <c r="BA37" i="2"/>
  <c r="BB37" i="7" l="1"/>
  <c r="BC37" i="7" s="1"/>
  <c r="BB36" i="7"/>
  <c r="BC36" i="7" s="1"/>
  <c r="BB34" i="7"/>
  <c r="BC34" i="7" s="1"/>
  <c r="BB28" i="7"/>
  <c r="BC28" i="7" s="1"/>
  <c r="BB35" i="7"/>
  <c r="BC35" i="7" s="1"/>
  <c r="W17" i="7"/>
  <c r="Y17" i="7" s="1"/>
  <c r="BB27" i="7"/>
  <c r="BC27" i="7" s="1"/>
  <c r="W17" i="2"/>
  <c r="Y17" i="2" s="1"/>
  <c r="BB24" i="7"/>
  <c r="BC24" i="7" s="1"/>
  <c r="BB31" i="7"/>
  <c r="BC31" i="7" s="1"/>
  <c r="W15" i="2"/>
  <c r="Y15" i="2" s="1"/>
  <c r="BB25" i="7"/>
  <c r="BC25" i="7" s="1"/>
  <c r="BB32" i="7"/>
  <c r="BC32" i="7" s="1"/>
  <c r="BB26" i="7"/>
  <c r="BC26" i="7" s="1"/>
  <c r="BB33" i="7"/>
  <c r="BC33" i="7" s="1"/>
  <c r="Y5" i="7"/>
  <c r="Y7" i="7"/>
  <c r="Y10" i="7"/>
  <c r="Y16" i="7"/>
  <c r="Y8" i="7"/>
  <c r="Y9" i="7"/>
  <c r="Y6" i="7"/>
  <c r="Y11" i="7"/>
  <c r="Y4" i="7"/>
  <c r="Y12" i="7"/>
  <c r="Y13" i="7"/>
  <c r="Y14" i="7"/>
  <c r="Y15" i="7"/>
  <c r="Y8" i="2"/>
  <c r="Y11" i="2"/>
  <c r="Y7" i="2"/>
  <c r="Y6" i="2"/>
  <c r="Y13" i="2"/>
  <c r="BB29" i="7"/>
  <c r="BC29" i="7" s="1"/>
  <c r="BB30" i="7"/>
  <c r="BC30" i="7" s="1"/>
  <c r="BB30" i="2"/>
  <c r="BC30" i="2" s="1"/>
  <c r="AA12" i="2"/>
  <c r="AE12" i="2" s="1"/>
  <c r="AG12" i="2" s="1"/>
  <c r="S10" i="2"/>
  <c r="S5" i="2"/>
  <c r="AA8" i="2"/>
  <c r="AE8" i="2" s="1"/>
  <c r="AG8" i="2" s="1"/>
  <c r="S14" i="2"/>
  <c r="AA16" i="2"/>
  <c r="AE16" i="2" s="1"/>
  <c r="AG16" i="2" s="1"/>
  <c r="S9" i="2"/>
  <c r="BB35" i="2"/>
  <c r="BC35" i="2" s="1"/>
  <c r="BB26" i="2"/>
  <c r="BC26" i="2" s="1"/>
  <c r="BB36" i="2"/>
  <c r="BC36" i="2" s="1"/>
  <c r="BB32" i="2"/>
  <c r="BC32" i="2" s="1"/>
  <c r="BB33" i="2"/>
  <c r="BC33" i="2" s="1"/>
  <c r="BB29" i="2"/>
  <c r="BC29" i="2" s="1"/>
  <c r="BB28" i="2"/>
  <c r="BC28" i="2" s="1"/>
  <c r="BB31" i="2"/>
  <c r="BC31" i="2" s="1"/>
  <c r="BB34" i="2"/>
  <c r="BC34" i="2" s="1"/>
  <c r="BB25" i="2"/>
  <c r="BC25" i="2" s="1"/>
  <c r="BB37" i="2"/>
  <c r="BC37" i="2" s="1"/>
  <c r="BB27" i="2"/>
  <c r="BC27" i="2" s="1"/>
  <c r="X38" i="2"/>
  <c r="Y38" i="2"/>
  <c r="Z38" i="2"/>
  <c r="U4" i="2"/>
  <c r="Y4" i="2" s="1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C38" i="2"/>
  <c r="B37" i="2"/>
  <c r="H20" i="6"/>
  <c r="I20" i="6"/>
  <c r="BA24" i="2"/>
  <c r="AZ24" i="2"/>
  <c r="AY24" i="2"/>
  <c r="AX24" i="2"/>
  <c r="AW24" i="2"/>
  <c r="AV24" i="2"/>
  <c r="B25" i="2"/>
  <c r="B26" i="2"/>
  <c r="B27" i="2"/>
  <c r="B28" i="2"/>
  <c r="B29" i="2"/>
  <c r="B30" i="2"/>
  <c r="B31" i="2"/>
  <c r="B32" i="2"/>
  <c r="B33" i="2"/>
  <c r="B34" i="2"/>
  <c r="B35" i="2"/>
  <c r="B36" i="2"/>
  <c r="B24" i="2"/>
  <c r="AA15" i="2" l="1"/>
  <c r="AE15" i="2" s="1"/>
  <c r="AA17" i="2"/>
  <c r="AE17" i="2" s="1"/>
  <c r="AA17" i="7"/>
  <c r="AE17" i="7" s="1"/>
  <c r="AA9" i="7"/>
  <c r="AE9" i="7" s="1"/>
  <c r="AA11" i="7"/>
  <c r="AE11" i="7" s="1"/>
  <c r="AA6" i="7"/>
  <c r="AE6" i="7" s="1"/>
  <c r="AA10" i="7"/>
  <c r="AE10" i="7" s="1"/>
  <c r="AA12" i="7"/>
  <c r="AE12" i="7" s="1"/>
  <c r="AA7" i="7"/>
  <c r="AE7" i="7" s="1"/>
  <c r="AA8" i="7"/>
  <c r="AE8" i="7" s="1"/>
  <c r="AA16" i="7"/>
  <c r="AE16" i="7" s="1"/>
  <c r="AA4" i="7"/>
  <c r="AE4" i="7" s="1"/>
  <c r="AA5" i="7"/>
  <c r="AE5" i="7" s="1"/>
  <c r="AA13" i="7"/>
  <c r="AE13" i="7" s="1"/>
  <c r="AA14" i="7"/>
  <c r="AE14" i="7" s="1"/>
  <c r="AA15" i="7"/>
  <c r="AE15" i="7" s="1"/>
  <c r="AA11" i="2"/>
  <c r="AE11" i="2" s="1"/>
  <c r="AA7" i="2"/>
  <c r="AE7" i="2" s="1"/>
  <c r="AA6" i="2"/>
  <c r="AE6" i="2" s="1"/>
  <c r="AA13" i="2"/>
  <c r="AE13" i="2" s="1"/>
  <c r="S8" i="2"/>
  <c r="S12" i="2"/>
  <c r="S16" i="2"/>
  <c r="BB24" i="2"/>
  <c r="BC24" i="2" s="1"/>
  <c r="S17" i="7" l="1"/>
  <c r="AG17" i="7"/>
  <c r="AG17" i="2"/>
  <c r="S17" i="2"/>
  <c r="AG15" i="2"/>
  <c r="S15" i="2"/>
  <c r="S12" i="7"/>
  <c r="AG12" i="7"/>
  <c r="S5" i="7"/>
  <c r="AG5" i="7"/>
  <c r="AG16" i="7"/>
  <c r="S16" i="7"/>
  <c r="S7" i="7"/>
  <c r="AG7" i="7"/>
  <c r="S10" i="7"/>
  <c r="AG10" i="7"/>
  <c r="AG6" i="7"/>
  <c r="S6" i="7"/>
  <c r="AG4" i="7"/>
  <c r="S4" i="7"/>
  <c r="S11" i="7"/>
  <c r="AG11" i="7"/>
  <c r="S8" i="7"/>
  <c r="AG8" i="7"/>
  <c r="AG9" i="7"/>
  <c r="S9" i="7"/>
  <c r="AG13" i="7"/>
  <c r="S13" i="7"/>
  <c r="S14" i="7"/>
  <c r="AG14" i="7"/>
  <c r="AG15" i="7"/>
  <c r="S15" i="7"/>
  <c r="AG11" i="2"/>
  <c r="S11" i="2"/>
  <c r="AG7" i="2"/>
  <c r="S7" i="2"/>
  <c r="AG6" i="2"/>
  <c r="S6" i="2"/>
  <c r="AG13" i="2"/>
  <c r="S13" i="2"/>
  <c r="H19" i="6"/>
  <c r="H21" i="6" s="1"/>
  <c r="I19" i="6"/>
  <c r="I21" i="6" s="1"/>
  <c r="I22" i="6" l="1"/>
  <c r="AC4" i="7" s="1"/>
  <c r="AC5" i="7" s="1"/>
  <c r="AC6" i="7" s="1"/>
  <c r="AC7" i="7" s="1"/>
  <c r="AC8" i="7" s="1"/>
  <c r="AC9" i="7" s="1"/>
  <c r="AC10" i="7" s="1"/>
  <c r="AC11" i="7" s="1"/>
  <c r="AC12" i="7" s="1"/>
  <c r="AC13" i="7" s="1"/>
  <c r="AC14" i="7" s="1"/>
  <c r="AC15" i="7" s="1"/>
  <c r="AC16" i="7" s="1"/>
  <c r="AC17" i="7" s="1"/>
  <c r="V4" i="7"/>
  <c r="V5" i="7" s="1"/>
  <c r="V6" i="7" s="1"/>
  <c r="V7" i="7" s="1"/>
  <c r="V8" i="7" s="1"/>
  <c r="V9" i="7" s="1"/>
  <c r="V10" i="7" s="1"/>
  <c r="V11" i="7" s="1"/>
  <c r="V12" i="7" s="1"/>
  <c r="V13" i="7" s="1"/>
  <c r="V14" i="7" s="1"/>
  <c r="V15" i="7" s="1"/>
  <c r="V16" i="7" s="1"/>
  <c r="V17" i="7" s="1"/>
  <c r="J19" i="6"/>
  <c r="V4" i="2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J21" i="6"/>
  <c r="J20" i="6"/>
  <c r="I23" i="6" l="1"/>
  <c r="AC4" i="2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A4" i="2"/>
  <c r="AE4" i="2" s="1"/>
  <c r="AG4" i="2" s="1"/>
  <c r="AF4" i="2" l="1"/>
  <c r="AF16" i="2" s="1"/>
  <c r="AF4" i="7"/>
  <c r="J23" i="6"/>
  <c r="T4" i="7" s="1"/>
  <c r="T5" i="7" s="1"/>
  <c r="T6" i="7" s="1"/>
  <c r="T7" i="7" s="1"/>
  <c r="T8" i="7" s="1"/>
  <c r="T9" i="7" s="1"/>
  <c r="T10" i="7" s="1"/>
  <c r="T11" i="7" s="1"/>
  <c r="T12" i="7" s="1"/>
  <c r="T13" i="7" s="1"/>
  <c r="T14" i="7" s="1"/>
  <c r="T15" i="7" s="1"/>
  <c r="T16" i="7" s="1"/>
  <c r="T17" i="7" s="1"/>
  <c r="S4" i="2"/>
  <c r="AF5" i="2" l="1"/>
  <c r="AF7" i="2"/>
  <c r="AF8" i="2"/>
  <c r="AF15" i="2"/>
  <c r="AF6" i="2"/>
  <c r="AF13" i="2"/>
  <c r="AF14" i="2"/>
  <c r="AF12" i="2"/>
  <c r="AF11" i="2"/>
  <c r="AF17" i="2"/>
  <c r="AF9" i="2"/>
  <c r="AF10" i="2"/>
  <c r="AF15" i="7"/>
  <c r="AF5" i="7"/>
  <c r="AF9" i="7"/>
  <c r="AF8" i="7"/>
  <c r="AF13" i="7"/>
  <c r="AF11" i="7"/>
  <c r="AF14" i="7"/>
  <c r="AF7" i="7"/>
  <c r="AF16" i="7"/>
  <c r="AF12" i="7"/>
  <c r="AF6" i="7"/>
  <c r="AF17" i="7"/>
  <c r="AF10" i="7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</calcChain>
</file>

<file path=xl/sharedStrings.xml><?xml version="1.0" encoding="utf-8"?>
<sst xmlns="http://schemas.openxmlformats.org/spreadsheetml/2006/main" count="1520" uniqueCount="81">
  <si>
    <t>Неделя</t>
  </si>
  <si>
    <t>Тема</t>
  </si>
  <si>
    <t>Лекция</t>
  </si>
  <si>
    <t>Баллы</t>
  </si>
  <si>
    <t>Всего баллов</t>
  </si>
  <si>
    <t>№</t>
  </si>
  <si>
    <t>ФИО</t>
  </si>
  <si>
    <t>ЛР1</t>
  </si>
  <si>
    <t>ЛР2</t>
  </si>
  <si>
    <t>ЛР3</t>
  </si>
  <si>
    <t>ЛР4</t>
  </si>
  <si>
    <t>ЛР5</t>
  </si>
  <si>
    <t>ЛР6</t>
  </si>
  <si>
    <t>ЛР7</t>
  </si>
  <si>
    <t>ЛР8</t>
  </si>
  <si>
    <t>РК1(в ведомость)</t>
  </si>
  <si>
    <t>РК1 (исх.)</t>
  </si>
  <si>
    <t>Всего присутствовало:</t>
  </si>
  <si>
    <t>Лек</t>
  </si>
  <si>
    <t>Дата</t>
  </si>
  <si>
    <t>Посещаемость:</t>
  </si>
  <si>
    <t>Успеваемость:</t>
  </si>
  <si>
    <t>Остаток для РК2</t>
  </si>
  <si>
    <t>РК2 (исх.)</t>
  </si>
  <si>
    <t>/100</t>
  </si>
  <si>
    <t>РК2(в ведомость)</t>
  </si>
  <si>
    <t>РК1 - пропуски</t>
  </si>
  <si>
    <t>Всего</t>
  </si>
  <si>
    <t>Лаб</t>
  </si>
  <si>
    <t>РК2 - пропуски</t>
  </si>
  <si>
    <t>Итого</t>
  </si>
  <si>
    <t>Процент</t>
  </si>
  <si>
    <t>Сумма</t>
  </si>
  <si>
    <t>Неделя защиты</t>
  </si>
  <si>
    <t>Фиксация РК1</t>
  </si>
  <si>
    <t>Лабораторная (СРО)</t>
  </si>
  <si>
    <t>РК1</t>
  </si>
  <si>
    <t>РК2</t>
  </si>
  <si>
    <t>Семестр</t>
  </si>
  <si>
    <t>Баллы за ЛР</t>
  </si>
  <si>
    <t>Баллы за посещаемость</t>
  </si>
  <si>
    <t>Перенос с РК1</t>
  </si>
  <si>
    <t>С учетом переноса на РК2</t>
  </si>
  <si>
    <t>Уроков в неделю</t>
  </si>
  <si>
    <t>Балл за пос. 1 урока</t>
  </si>
  <si>
    <t>/15</t>
  </si>
  <si>
    <t>/</t>
  </si>
  <si>
    <t>-</t>
  </si>
  <si>
    <t>Лаб1</t>
  </si>
  <si>
    <t>Лаб2</t>
  </si>
  <si>
    <t>/101</t>
  </si>
  <si>
    <t xml:space="preserve"> (max 60)</t>
  </si>
  <si>
    <t xml:space="preserve"> </t>
  </si>
  <si>
    <t>Ахмадиев Даулет Аубакерович</t>
  </si>
  <si>
    <t xml:space="preserve">Булатбекулы Ринат </t>
  </si>
  <si>
    <t>Гусева Алёна Сергеевна</t>
  </si>
  <si>
    <t>Жанузаков Аскар Манарбекулы</t>
  </si>
  <si>
    <t>Зарипханов Қуаныш Ерланұлы</t>
  </si>
  <si>
    <t>Колесников Евгений Максимович</t>
  </si>
  <si>
    <t>Крикуненко Данил Александрович</t>
  </si>
  <si>
    <t>Мягкова Софья Александровна</t>
  </si>
  <si>
    <t>Смагулова Алина Айбековна</t>
  </si>
  <si>
    <t>Чеботарь Денис Константинович</t>
  </si>
  <si>
    <t>Шарыпов Александр Николаевич</t>
  </si>
  <si>
    <t>Абилов Шамиль Мерхатович</t>
  </si>
  <si>
    <t>Амирханов Алмас Досымулы</t>
  </si>
  <si>
    <t>Ахметов Ариман Айдынович</t>
  </si>
  <si>
    <t>Байноллаев Шәріпхан Алмасұлы</t>
  </si>
  <si>
    <t>Бақыт Әли Бақытұлы</t>
  </si>
  <si>
    <t>Болатбеков Мирас Мерейұлы</t>
  </si>
  <si>
    <t>Білісбек Жеңісбек Өмірбекұлы</t>
  </si>
  <si>
    <t>Жорабек Даниел Талғатұлы</t>
  </si>
  <si>
    <t>Кенжеәлі Нұрсат Сансызбайұлы</t>
  </si>
  <si>
    <t>Мұратова Назылы Асхатқызы</t>
  </si>
  <si>
    <t>Нургалиев Бақдәулет Ерланұлы</t>
  </si>
  <si>
    <t>Нұрислам Айдана Қазыбекқызы</t>
  </si>
  <si>
    <t xml:space="preserve">Рақымжанұлы Ералы </t>
  </si>
  <si>
    <t>+</t>
  </si>
  <si>
    <t>c</t>
  </si>
  <si>
    <t>Долг на экзамен</t>
  </si>
  <si>
    <t>Қатпанов Жарас Нұрлұбекұлы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</si>
</sst>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16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0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15" xfId="0" applyBorder="1"/>
    <xf numFmtId="1" fontId="0" fillId="0" borderId="0" xfId="0" applyNumberFormat="1"/>
    <xf numFmtId="0" fontId="0" fillId="2" borderId="1" xfId="0" applyFill="1" applyBorder="1"/>
    <xf numFmtId="1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4" borderId="13" xfId="0" applyFill="1" applyBorder="1"/>
    <xf numFmtId="0" fontId="0" fillId="5" borderId="0" xfId="0" applyFill="1"/>
    <xf numFmtId="0" fontId="2" fillId="0" borderId="0" xfId="1"/>
    <xf numFmtId="0" fontId="0" fillId="0" borderId="0" xfId="0" quotePrefix="1"/>
    <xf numFmtId="0" fontId="0" fillId="6" borderId="2" xfId="0" applyFill="1" applyBorder="1"/>
    <xf numFmtId="0" fontId="0" fillId="6" borderId="0" xfId="0" applyFill="1"/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" fontId="0" fillId="0" borderId="1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8" zoomScale="115" zoomScaleNormal="115" workbookViewId="0">
      <selection activeCell="B3" sqref="B3"/>
    </sheetView>
  </sheetViews>
  <sheetFormatPr defaultRowHeight="14.25" x14ac:dyDescent="0.45"/>
  <cols>
    <col min="2" max="2" width="49.1328125" customWidth="1"/>
    <col min="3" max="3" width="46.6640625" customWidth="1"/>
    <col min="4" max="4" width="40.53125" customWidth="1"/>
    <col min="7" max="7" width="21.1328125" customWidth="1"/>
  </cols>
  <sheetData>
    <row r="1" spans="1:7" ht="28.5" x14ac:dyDescent="0.45">
      <c r="A1" s="3" t="s">
        <v>33</v>
      </c>
      <c r="B1" s="2" t="s">
        <v>1</v>
      </c>
      <c r="C1" s="2" t="s">
        <v>2</v>
      </c>
      <c r="D1" s="2" t="s">
        <v>35</v>
      </c>
      <c r="E1" s="2" t="s">
        <v>3</v>
      </c>
    </row>
    <row r="2" spans="1:7" x14ac:dyDescent="0.45">
      <c r="A2" s="2">
        <v>1</v>
      </c>
      <c r="B2" s="3"/>
      <c r="C2" s="3"/>
      <c r="D2" s="3"/>
      <c r="E2" s="1"/>
      <c r="G2" s="16"/>
    </row>
    <row r="3" spans="1:7" x14ac:dyDescent="0.45">
      <c r="A3" s="2">
        <v>2</v>
      </c>
      <c r="B3" s="3"/>
      <c r="C3" s="3"/>
      <c r="D3" s="3"/>
      <c r="E3" s="1"/>
      <c r="F3" s="30"/>
    </row>
    <row r="4" spans="1:7" ht="75.75" customHeight="1" x14ac:dyDescent="0.45">
      <c r="A4" s="2">
        <v>3</v>
      </c>
      <c r="B4" s="2"/>
      <c r="C4" s="2"/>
      <c r="D4" s="3"/>
      <c r="E4" s="1"/>
    </row>
    <row r="5" spans="1:7" x14ac:dyDescent="0.45">
      <c r="A5" s="2">
        <v>4</v>
      </c>
      <c r="B5" s="1"/>
      <c r="C5" s="1"/>
      <c r="D5" s="3"/>
      <c r="E5" s="1"/>
    </row>
    <row r="6" spans="1:7" ht="91.25" customHeight="1" x14ac:dyDescent="0.45">
      <c r="A6" s="2">
        <v>5</v>
      </c>
      <c r="B6" s="3"/>
      <c r="C6" s="3"/>
      <c r="D6" s="3"/>
      <c r="E6" s="1"/>
      <c r="F6" s="14"/>
    </row>
    <row r="7" spans="1:7" ht="14.25" customHeight="1" x14ac:dyDescent="0.45">
      <c r="A7" s="2">
        <v>6</v>
      </c>
      <c r="B7" s="3"/>
      <c r="C7" s="3"/>
      <c r="D7" s="3"/>
      <c r="E7" s="1"/>
      <c r="F7" s="14"/>
    </row>
    <row r="8" spans="1:7" ht="84.5" customHeight="1" x14ac:dyDescent="0.45">
      <c r="A8" s="2">
        <v>7</v>
      </c>
      <c r="B8" s="3"/>
      <c r="C8" s="3"/>
      <c r="D8" s="3"/>
      <c r="E8" s="1"/>
      <c r="F8" s="14"/>
      <c r="G8" s="29"/>
    </row>
    <row r="9" spans="1:7" x14ac:dyDescent="0.45">
      <c r="A9" s="2">
        <v>8</v>
      </c>
      <c r="B9" s="3"/>
      <c r="C9" s="3"/>
      <c r="D9" s="3"/>
      <c r="E9" s="1"/>
      <c r="F9" s="14"/>
    </row>
    <row r="10" spans="1:7" ht="80.25" customHeight="1" x14ac:dyDescent="0.45">
      <c r="A10" s="2">
        <v>9</v>
      </c>
      <c r="B10" s="2"/>
      <c r="C10" s="3"/>
      <c r="D10" s="3"/>
      <c r="E10" s="1"/>
      <c r="F10" s="14"/>
      <c r="G10" s="29"/>
    </row>
    <row r="11" spans="1:7" x14ac:dyDescent="0.45">
      <c r="A11" s="2">
        <v>10</v>
      </c>
      <c r="B11" s="3"/>
      <c r="C11" s="3"/>
      <c r="D11" s="3"/>
      <c r="E11" s="1"/>
      <c r="F11" s="14"/>
    </row>
    <row r="12" spans="1:7" x14ac:dyDescent="0.45">
      <c r="A12" s="2">
        <v>11</v>
      </c>
      <c r="B12" s="3"/>
      <c r="C12" s="3"/>
      <c r="D12" s="3"/>
      <c r="E12" s="1"/>
      <c r="F12" s="14"/>
      <c r="G12" s="29"/>
    </row>
    <row r="13" spans="1:7" x14ac:dyDescent="0.45">
      <c r="A13" s="2">
        <v>12</v>
      </c>
      <c r="B13" s="3"/>
      <c r="C13" s="3"/>
      <c r="D13" s="3"/>
      <c r="E13" s="1"/>
      <c r="F13" s="14"/>
    </row>
    <row r="14" spans="1:7" ht="71.75" customHeight="1" x14ac:dyDescent="0.45">
      <c r="A14" s="2">
        <v>13</v>
      </c>
      <c r="B14" s="3"/>
      <c r="C14" s="3"/>
      <c r="D14" s="3"/>
      <c r="E14" s="1"/>
    </row>
    <row r="15" spans="1:7" ht="14.25" customHeight="1" x14ac:dyDescent="0.45">
      <c r="A15" s="2">
        <v>14</v>
      </c>
      <c r="B15" s="3"/>
      <c r="C15" s="3"/>
      <c r="D15" s="3"/>
      <c r="E15" s="1"/>
    </row>
    <row r="16" spans="1:7" x14ac:dyDescent="0.45">
      <c r="A16" s="2">
        <v>15</v>
      </c>
      <c r="B16" s="34"/>
      <c r="C16" s="35"/>
      <c r="D16" s="36"/>
      <c r="E16" s="1"/>
    </row>
    <row r="17" spans="1:10" ht="54.75" customHeight="1" thickBot="1" x14ac:dyDescent="0.5">
      <c r="A17" s="33"/>
      <c r="B17" s="33"/>
      <c r="C17" s="4"/>
    </row>
    <row r="18" spans="1:10" x14ac:dyDescent="0.45">
      <c r="C18" s="4"/>
      <c r="G18" s="8"/>
      <c r="H18" s="9" t="s">
        <v>36</v>
      </c>
      <c r="I18" s="9" t="s">
        <v>37</v>
      </c>
      <c r="J18" s="18" t="s">
        <v>38</v>
      </c>
    </row>
    <row r="19" spans="1:10" x14ac:dyDescent="0.45">
      <c r="G19" s="10" t="s">
        <v>39</v>
      </c>
      <c r="H19" s="1">
        <f>SUM(E2:E9)</f>
        <v>0</v>
      </c>
      <c r="I19" s="1">
        <f>SUM(E9:E16)</f>
        <v>0</v>
      </c>
      <c r="J19" s="15">
        <f>SUM(H19:I19)</f>
        <v>0</v>
      </c>
    </row>
    <row r="20" spans="1:10" x14ac:dyDescent="0.45">
      <c r="G20" s="10" t="s">
        <v>40</v>
      </c>
      <c r="H20" s="1">
        <f>COUNTA(B2:B11)*$H$25*H26</f>
        <v>0</v>
      </c>
      <c r="I20" s="23">
        <f>COUNTA(B4:B15)*$H$25*H26</f>
        <v>0</v>
      </c>
      <c r="J20" s="15">
        <f t="shared" ref="J20:J21" si="0">SUM(H20:I20)</f>
        <v>0</v>
      </c>
    </row>
    <row r="21" spans="1:10" ht="14.65" thickBot="1" x14ac:dyDescent="0.5">
      <c r="G21" s="11" t="s">
        <v>30</v>
      </c>
      <c r="H21" s="12">
        <f>H19+H20</f>
        <v>0</v>
      </c>
      <c r="I21" s="12">
        <f>I19+I20</f>
        <v>0</v>
      </c>
      <c r="J21" s="15">
        <f t="shared" si="0"/>
        <v>0</v>
      </c>
    </row>
    <row r="22" spans="1:10" x14ac:dyDescent="0.45">
      <c r="B22" s="29"/>
      <c r="G22" t="s">
        <v>41</v>
      </c>
      <c r="I22" s="24">
        <f>H21-50</f>
        <v>-50</v>
      </c>
    </row>
    <row r="23" spans="1:10" x14ac:dyDescent="0.45">
      <c r="G23" t="s">
        <v>42</v>
      </c>
      <c r="H23">
        <v>50</v>
      </c>
      <c r="I23">
        <f>I21+I22</f>
        <v>-50</v>
      </c>
      <c r="J23">
        <f>H23+I23</f>
        <v>0</v>
      </c>
    </row>
    <row r="25" spans="1:10" x14ac:dyDescent="0.45">
      <c r="G25" t="s">
        <v>43</v>
      </c>
      <c r="H25">
        <v>3</v>
      </c>
    </row>
    <row r="26" spans="1:10" x14ac:dyDescent="0.45">
      <c r="G26" t="s">
        <v>44</v>
      </c>
      <c r="H26">
        <v>0.1</v>
      </c>
    </row>
  </sheetData>
  <mergeCells count="2">
    <mergeCell ref="A17:B17"/>
    <mergeCell ref="B16:D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8"/>
  <sheetViews>
    <sheetView zoomScale="85" zoomScaleNormal="85" workbookViewId="0">
      <pane xSplit="2" ySplit="23" topLeftCell="C24" activePane="bottomRight" state="frozen"/>
      <selection pane="topRight" activeCell="C1" sqref="C1"/>
      <selection pane="bottomLeft" activeCell="A24" sqref="A24"/>
      <selection pane="bottomRight" activeCell="D40" sqref="D40"/>
    </sheetView>
  </sheetViews>
  <sheetFormatPr defaultRowHeight="14.25" x14ac:dyDescent="0.45"/>
  <cols>
    <col min="1" max="1" width="5.1328125" customWidth="1"/>
    <col min="2" max="2" width="39.46484375" customWidth="1"/>
    <col min="18" max="18" width="9.53125" customWidth="1"/>
    <col min="19" max="20" width="8.53125" customWidth="1"/>
    <col min="21" max="21" width="8.86328125" customWidth="1"/>
    <col min="22" max="22" width="9.33203125" customWidth="1"/>
    <col min="25" max="25" width="8.86328125" customWidth="1"/>
    <col min="48" max="48" width="10" customWidth="1"/>
    <col min="55" max="55" width="10.53125" bestFit="1" customWidth="1"/>
  </cols>
  <sheetData>
    <row r="1" spans="1:35" x14ac:dyDescent="0.45">
      <c r="B1" t="s">
        <v>21</v>
      </c>
    </row>
    <row r="2" spans="1:35" x14ac:dyDescent="0.45">
      <c r="C2" s="39" t="s">
        <v>45</v>
      </c>
      <c r="D2" s="39"/>
      <c r="E2" s="39"/>
      <c r="F2" s="39"/>
      <c r="G2" s="39"/>
      <c r="H2" s="39"/>
      <c r="I2" s="39"/>
      <c r="J2" s="39"/>
      <c r="W2" t="s">
        <v>51</v>
      </c>
    </row>
    <row r="3" spans="1:35" x14ac:dyDescent="0.45">
      <c r="A3" s="1" t="s">
        <v>5</v>
      </c>
      <c r="B3" s="1" t="s">
        <v>6</v>
      </c>
      <c r="C3" s="25" t="s">
        <v>7</v>
      </c>
      <c r="D3" s="25" t="s">
        <v>8</v>
      </c>
      <c r="E3" s="25" t="s">
        <v>9</v>
      </c>
      <c r="F3" s="25" t="s">
        <v>10</v>
      </c>
      <c r="G3" s="26" t="s">
        <v>11</v>
      </c>
      <c r="H3" s="26" t="s">
        <v>12</v>
      </c>
      <c r="I3" s="26" t="s">
        <v>13</v>
      </c>
      <c r="J3" s="27" t="s">
        <v>14</v>
      </c>
      <c r="R3" s="7"/>
      <c r="S3" s="5" t="s">
        <v>4</v>
      </c>
      <c r="U3" s="5" t="s">
        <v>16</v>
      </c>
      <c r="V3" s="5"/>
      <c r="W3" s="7" t="s">
        <v>34</v>
      </c>
      <c r="Y3" s="31" t="s">
        <v>15</v>
      </c>
      <c r="AA3" t="s">
        <v>22</v>
      </c>
      <c r="AE3" t="s">
        <v>23</v>
      </c>
      <c r="AG3" s="5" t="s">
        <v>25</v>
      </c>
      <c r="AI3" t="s">
        <v>79</v>
      </c>
    </row>
    <row r="4" spans="1:35" x14ac:dyDescent="0.45">
      <c r="A4" s="1">
        <v>1</v>
      </c>
      <c r="B4" t="s">
        <v>53</v>
      </c>
      <c r="C4" s="25"/>
      <c r="D4" s="25"/>
      <c r="E4" s="25"/>
      <c r="F4" s="25"/>
      <c r="G4" s="26"/>
      <c r="H4" s="26"/>
      <c r="I4" s="26"/>
      <c r="J4" s="26"/>
      <c r="S4">
        <f t="shared" ref="S4:S17" si="0">U4+AE4-AA4</f>
        <v>0.30000000000000004</v>
      </c>
      <c r="T4" t="str">
        <f>_xlfn.CONCAT("/", Программа!$J$23)</f>
        <v>/0</v>
      </c>
      <c r="U4">
        <f>SUM(C4:F4)+Программа!$H$26*COUNTIF(C24:Z24, "+")+R4</f>
        <v>0.30000000000000004</v>
      </c>
      <c r="V4" t="str">
        <f>_xlfn.CONCAT("/",Программа!$H$21)</f>
        <v>/0</v>
      </c>
      <c r="Y4" s="32">
        <f t="shared" ref="Y4:Y17" si="1">IF(W4&gt;60, 100, ROUND(W4/60*100,0))</f>
        <v>0</v>
      </c>
      <c r="Z4" t="s">
        <v>24</v>
      </c>
      <c r="AA4">
        <f t="shared" ref="AA4:AA17" si="2">U4-W4</f>
        <v>0.30000000000000004</v>
      </c>
      <c r="AB4" s="17" t="s">
        <v>46</v>
      </c>
      <c r="AC4">
        <f>Программа!$I$22</f>
        <v>-50</v>
      </c>
      <c r="AE4">
        <f>SUM(G4:J4)+COUNTIF(AA24:AU24, "+")*Программа!$H$26+AA4</f>
        <v>0.30000000000000004</v>
      </c>
      <c r="AF4" t="str">
        <f>_xlfn.CONCAT("/",Программа!$I$23)</f>
        <v>/-50</v>
      </c>
      <c r="AG4" s="28">
        <f t="shared" ref="AG4:AG17" si="3">IF(AE4&gt;60, 100, ROUND(AE4/60*100, 0))</f>
        <v>1</v>
      </c>
      <c r="AH4" t="s">
        <v>24</v>
      </c>
    </row>
    <row r="5" spans="1:35" x14ac:dyDescent="0.45">
      <c r="A5" s="1">
        <v>2</v>
      </c>
      <c r="B5" t="s">
        <v>54</v>
      </c>
      <c r="C5" s="25"/>
      <c r="D5" s="25"/>
      <c r="E5" s="25"/>
      <c r="F5" s="25"/>
      <c r="G5" s="26"/>
      <c r="H5" s="26"/>
      <c r="I5" s="26"/>
      <c r="J5" s="26"/>
      <c r="S5">
        <f t="shared" si="0"/>
        <v>0.30000000000000004</v>
      </c>
      <c r="T5" t="str">
        <f t="shared" ref="T5:T17" si="4">T4</f>
        <v>/0</v>
      </c>
      <c r="U5">
        <f>SUM(C5:F5)+Программа!$H$26*COUNTIF(C25:Z25, "+")+R5</f>
        <v>0.30000000000000004</v>
      </c>
      <c r="V5" t="str">
        <f t="shared" ref="V5:V17" si="5">V4</f>
        <v>/0</v>
      </c>
      <c r="Y5" s="32">
        <f t="shared" si="1"/>
        <v>0</v>
      </c>
      <c r="Z5" t="s">
        <v>24</v>
      </c>
      <c r="AA5">
        <f t="shared" si="2"/>
        <v>0.30000000000000004</v>
      </c>
      <c r="AB5" s="17" t="s">
        <v>46</v>
      </c>
      <c r="AC5">
        <f t="shared" ref="AC5:AC17" si="6">AC4</f>
        <v>-50</v>
      </c>
      <c r="AE5">
        <f>SUM(G5:J5)+COUNTIF(AA25:AU25, "+")*Программа!$H$26+AA5</f>
        <v>0.30000000000000004</v>
      </c>
      <c r="AF5" t="str">
        <f t="shared" ref="AF5:AF17" si="7">$AF$4</f>
        <v>/-50</v>
      </c>
      <c r="AG5" s="28">
        <f t="shared" si="3"/>
        <v>1</v>
      </c>
      <c r="AH5" t="s">
        <v>24</v>
      </c>
    </row>
    <row r="6" spans="1:35" x14ac:dyDescent="0.45">
      <c r="A6" s="1">
        <v>3</v>
      </c>
      <c r="B6" t="s">
        <v>55</v>
      </c>
      <c r="C6" s="25"/>
      <c r="D6" s="25"/>
      <c r="E6" s="25"/>
      <c r="F6" s="25"/>
      <c r="G6" s="26"/>
      <c r="H6" s="26"/>
      <c r="I6" s="26"/>
      <c r="J6" s="27"/>
      <c r="S6">
        <f t="shared" si="0"/>
        <v>0</v>
      </c>
      <c r="T6" t="str">
        <f t="shared" si="4"/>
        <v>/0</v>
      </c>
      <c r="U6">
        <f>SUM(C6:F6)+Программа!$H$26*COUNTIF(C26:Z26, "+")+R6</f>
        <v>0</v>
      </c>
      <c r="V6" t="str">
        <f t="shared" si="5"/>
        <v>/0</v>
      </c>
      <c r="Y6" s="32">
        <f t="shared" si="1"/>
        <v>0</v>
      </c>
      <c r="Z6" t="s">
        <v>24</v>
      </c>
      <c r="AA6">
        <f t="shared" si="2"/>
        <v>0</v>
      </c>
      <c r="AB6" s="17" t="s">
        <v>46</v>
      </c>
      <c r="AC6">
        <f t="shared" si="6"/>
        <v>-50</v>
      </c>
      <c r="AE6">
        <f>SUM(G6:J6)+COUNTIF(AA26:AU26, "+")*Программа!$H$26+AA6</f>
        <v>0</v>
      </c>
      <c r="AF6" t="str">
        <f t="shared" si="7"/>
        <v>/-50</v>
      </c>
      <c r="AG6" s="28">
        <f t="shared" si="3"/>
        <v>0</v>
      </c>
      <c r="AH6" t="s">
        <v>24</v>
      </c>
    </row>
    <row r="7" spans="1:35" x14ac:dyDescent="0.45">
      <c r="A7" s="1">
        <v>4</v>
      </c>
      <c r="B7" t="s">
        <v>56</v>
      </c>
      <c r="C7" s="25"/>
      <c r="D7" s="25"/>
      <c r="E7" s="25"/>
      <c r="F7" s="25"/>
      <c r="G7" s="26"/>
      <c r="H7" s="26"/>
      <c r="I7" s="26"/>
      <c r="J7" s="27"/>
      <c r="S7">
        <f t="shared" si="0"/>
        <v>0.30000000000000004</v>
      </c>
      <c r="T7" t="str">
        <f t="shared" si="4"/>
        <v>/0</v>
      </c>
      <c r="U7">
        <f>SUM(C7:F7)+Программа!$H$26*COUNTIF(C27:Z27, "+")+R7</f>
        <v>0.30000000000000004</v>
      </c>
      <c r="V7" t="str">
        <f t="shared" si="5"/>
        <v>/0</v>
      </c>
      <c r="Y7" s="32">
        <f t="shared" si="1"/>
        <v>0</v>
      </c>
      <c r="Z7" t="s">
        <v>24</v>
      </c>
      <c r="AA7">
        <f t="shared" si="2"/>
        <v>0.30000000000000004</v>
      </c>
      <c r="AB7" s="17" t="s">
        <v>46</v>
      </c>
      <c r="AC7">
        <f t="shared" si="6"/>
        <v>-50</v>
      </c>
      <c r="AE7">
        <f>SUM(G7:J7)+COUNTIF(AA27:AU27, "+")*Программа!$H$26+AA7</f>
        <v>0.30000000000000004</v>
      </c>
      <c r="AF7" t="str">
        <f t="shared" si="7"/>
        <v>/-50</v>
      </c>
      <c r="AG7" s="28">
        <f t="shared" si="3"/>
        <v>1</v>
      </c>
      <c r="AH7" t="s">
        <v>24</v>
      </c>
    </row>
    <row r="8" spans="1:35" x14ac:dyDescent="0.45">
      <c r="A8" s="1">
        <v>5</v>
      </c>
      <c r="B8" t="s">
        <v>57</v>
      </c>
      <c r="C8" s="25"/>
      <c r="D8" s="25"/>
      <c r="E8" s="25"/>
      <c r="F8" s="25"/>
      <c r="G8" s="26"/>
      <c r="H8" s="26"/>
      <c r="I8" s="26"/>
      <c r="J8" s="27"/>
      <c r="S8">
        <f t="shared" si="0"/>
        <v>0.30000000000000004</v>
      </c>
      <c r="T8" t="str">
        <f t="shared" si="4"/>
        <v>/0</v>
      </c>
      <c r="U8">
        <f>SUM(C8:F8)+Программа!$H$26*COUNTIF(C28:Z28, "+")+R8</f>
        <v>0.30000000000000004</v>
      </c>
      <c r="V8" t="str">
        <f t="shared" si="5"/>
        <v>/0</v>
      </c>
      <c r="Y8" s="32">
        <f t="shared" si="1"/>
        <v>0</v>
      </c>
      <c r="Z8" t="s">
        <v>24</v>
      </c>
      <c r="AA8">
        <f t="shared" si="2"/>
        <v>0.30000000000000004</v>
      </c>
      <c r="AB8" s="17" t="s">
        <v>46</v>
      </c>
      <c r="AC8">
        <f t="shared" si="6"/>
        <v>-50</v>
      </c>
      <c r="AE8">
        <f>SUM(G8:J8)+COUNTIF(AA28:AU28, "+")*Программа!$H$26+AA8</f>
        <v>0.30000000000000004</v>
      </c>
      <c r="AF8" t="str">
        <f t="shared" si="7"/>
        <v>/-50</v>
      </c>
      <c r="AG8" s="28">
        <f t="shared" si="3"/>
        <v>1</v>
      </c>
      <c r="AH8" t="s">
        <v>24</v>
      </c>
    </row>
    <row r="9" spans="1:35" x14ac:dyDescent="0.45">
      <c r="A9" s="1">
        <v>6</v>
      </c>
      <c r="B9" t="s">
        <v>58</v>
      </c>
      <c r="C9" s="25"/>
      <c r="D9" s="25"/>
      <c r="E9" s="25"/>
      <c r="F9" s="25"/>
      <c r="G9" s="26"/>
      <c r="H9" s="26"/>
      <c r="I9" s="26"/>
      <c r="J9" s="26"/>
      <c r="S9">
        <f t="shared" si="0"/>
        <v>0.30000000000000004</v>
      </c>
      <c r="T9" t="str">
        <f t="shared" si="4"/>
        <v>/0</v>
      </c>
      <c r="U9">
        <f>SUM(C9:F9)+Программа!$H$26*COUNTIF(C29:Z29, "+")+R9</f>
        <v>0.30000000000000004</v>
      </c>
      <c r="V9" t="str">
        <f t="shared" si="5"/>
        <v>/0</v>
      </c>
      <c r="Y9" s="32">
        <f t="shared" si="1"/>
        <v>0</v>
      </c>
      <c r="Z9" t="s">
        <v>24</v>
      </c>
      <c r="AA9">
        <f t="shared" si="2"/>
        <v>0.30000000000000004</v>
      </c>
      <c r="AB9" s="17" t="s">
        <v>46</v>
      </c>
      <c r="AC9">
        <f t="shared" si="6"/>
        <v>-50</v>
      </c>
      <c r="AE9">
        <f>SUM(G9:J9)+COUNTIF(AA29:AU29, "+")*Программа!$H$26+AA9</f>
        <v>0.30000000000000004</v>
      </c>
      <c r="AF9" t="str">
        <f t="shared" si="7"/>
        <v>/-50</v>
      </c>
      <c r="AG9" s="28">
        <f t="shared" si="3"/>
        <v>1</v>
      </c>
      <c r="AH9" t="s">
        <v>24</v>
      </c>
    </row>
    <row r="10" spans="1:35" x14ac:dyDescent="0.45">
      <c r="A10" s="1">
        <v>7</v>
      </c>
      <c r="B10" t="s">
        <v>59</v>
      </c>
      <c r="C10" s="25"/>
      <c r="D10" s="25"/>
      <c r="E10" s="25"/>
      <c r="F10" s="25"/>
      <c r="G10" s="26"/>
      <c r="H10" s="26"/>
      <c r="I10" s="26"/>
      <c r="J10" s="26"/>
      <c r="S10">
        <f t="shared" si="0"/>
        <v>0</v>
      </c>
      <c r="T10" t="str">
        <f t="shared" si="4"/>
        <v>/0</v>
      </c>
      <c r="U10">
        <f>SUM(C10:F10)+Программа!$H$26*COUNTIF(C30:Z30, "+")+R10</f>
        <v>0</v>
      </c>
      <c r="V10" t="str">
        <f t="shared" si="5"/>
        <v>/0</v>
      </c>
      <c r="Y10" s="32">
        <f t="shared" si="1"/>
        <v>0</v>
      </c>
      <c r="Z10" t="s">
        <v>24</v>
      </c>
      <c r="AA10">
        <f t="shared" si="2"/>
        <v>0</v>
      </c>
      <c r="AB10" s="17" t="s">
        <v>46</v>
      </c>
      <c r="AC10">
        <f t="shared" si="6"/>
        <v>-50</v>
      </c>
      <c r="AE10">
        <f>SUM(G10:J10)+COUNTIF(AA30:AU30, "+")*Программа!$H$26+AA10</f>
        <v>0</v>
      </c>
      <c r="AF10" t="str">
        <f t="shared" si="7"/>
        <v>/-50</v>
      </c>
      <c r="AG10" s="28">
        <f t="shared" si="3"/>
        <v>0</v>
      </c>
      <c r="AH10" t="s">
        <v>24</v>
      </c>
    </row>
    <row r="11" spans="1:35" x14ac:dyDescent="0.45">
      <c r="A11" s="1">
        <v>8</v>
      </c>
      <c r="B11" t="s">
        <v>60</v>
      </c>
      <c r="C11" s="25"/>
      <c r="D11" s="25"/>
      <c r="E11" s="25"/>
      <c r="F11" s="25"/>
      <c r="G11" s="26"/>
      <c r="H11" s="26"/>
      <c r="I11" s="26"/>
      <c r="J11" s="27"/>
      <c r="S11">
        <f t="shared" si="0"/>
        <v>0.30000000000000004</v>
      </c>
      <c r="T11" t="str">
        <f t="shared" si="4"/>
        <v>/0</v>
      </c>
      <c r="U11">
        <f>SUM(C11:F11)+Программа!$H$26*COUNTIF(C31:Z31, "+")+R11</f>
        <v>0.30000000000000004</v>
      </c>
      <c r="V11" t="str">
        <f t="shared" si="5"/>
        <v>/0</v>
      </c>
      <c r="Y11" s="32">
        <f t="shared" si="1"/>
        <v>0</v>
      </c>
      <c r="Z11" t="s">
        <v>24</v>
      </c>
      <c r="AA11">
        <f t="shared" si="2"/>
        <v>0.30000000000000004</v>
      </c>
      <c r="AB11" s="17" t="s">
        <v>46</v>
      </c>
      <c r="AC11">
        <f t="shared" si="6"/>
        <v>-50</v>
      </c>
      <c r="AE11">
        <f>SUM(G11:J11)+COUNTIF(AA31:AU31, "+")*Программа!$H$26+AA11</f>
        <v>0.30000000000000004</v>
      </c>
      <c r="AF11" t="str">
        <f t="shared" si="7"/>
        <v>/-50</v>
      </c>
      <c r="AG11" s="28">
        <f t="shared" si="3"/>
        <v>1</v>
      </c>
      <c r="AH11" t="s">
        <v>24</v>
      </c>
    </row>
    <row r="12" spans="1:35" x14ac:dyDescent="0.45">
      <c r="A12" s="1">
        <v>9</v>
      </c>
      <c r="B12" t="s">
        <v>61</v>
      </c>
      <c r="C12" s="25"/>
      <c r="D12" s="25"/>
      <c r="E12" s="25"/>
      <c r="F12" s="25"/>
      <c r="G12" s="26"/>
      <c r="H12" s="26"/>
      <c r="I12" s="26"/>
      <c r="J12" s="27"/>
      <c r="S12">
        <f t="shared" si="0"/>
        <v>0</v>
      </c>
      <c r="T12" t="str">
        <f t="shared" si="4"/>
        <v>/0</v>
      </c>
      <c r="U12">
        <f>SUM(C12:F12)+Программа!$H$26*COUNTIF(C32:Z32, "+")+R12</f>
        <v>0</v>
      </c>
      <c r="V12" t="str">
        <f t="shared" si="5"/>
        <v>/0</v>
      </c>
      <c r="Y12" s="32">
        <f t="shared" si="1"/>
        <v>0</v>
      </c>
      <c r="Z12" t="s">
        <v>24</v>
      </c>
      <c r="AA12">
        <f t="shared" si="2"/>
        <v>0</v>
      </c>
      <c r="AB12" s="17" t="s">
        <v>46</v>
      </c>
      <c r="AC12">
        <f t="shared" si="6"/>
        <v>-50</v>
      </c>
      <c r="AE12">
        <f>SUM(G12:J12)+COUNTIF(AA32:AU32, "+")*Программа!$H$26+AA12</f>
        <v>0</v>
      </c>
      <c r="AF12" t="str">
        <f t="shared" si="7"/>
        <v>/-50</v>
      </c>
      <c r="AG12" s="28">
        <f t="shared" si="3"/>
        <v>0</v>
      </c>
      <c r="AH12" t="s">
        <v>24</v>
      </c>
    </row>
    <row r="13" spans="1:35" x14ac:dyDescent="0.45">
      <c r="A13" s="1">
        <v>10</v>
      </c>
      <c r="B13" t="s">
        <v>62</v>
      </c>
      <c r="C13" s="25"/>
      <c r="D13" s="25"/>
      <c r="E13" s="25"/>
      <c r="F13" s="25"/>
      <c r="G13" s="26"/>
      <c r="H13" s="26"/>
      <c r="I13" s="26"/>
      <c r="J13" s="26"/>
      <c r="S13">
        <f t="shared" si="0"/>
        <v>0.30000000000000004</v>
      </c>
      <c r="T13" t="str">
        <f t="shared" si="4"/>
        <v>/0</v>
      </c>
      <c r="U13">
        <f>SUM(C13:F13)+Программа!$H$26*COUNTIF(C33:Z33, "+")+R13</f>
        <v>0.30000000000000004</v>
      </c>
      <c r="V13" t="str">
        <f t="shared" si="5"/>
        <v>/0</v>
      </c>
      <c r="Y13" s="32">
        <f t="shared" si="1"/>
        <v>0</v>
      </c>
      <c r="Z13" t="s">
        <v>24</v>
      </c>
      <c r="AA13">
        <f t="shared" si="2"/>
        <v>0.30000000000000004</v>
      </c>
      <c r="AB13" s="17" t="s">
        <v>46</v>
      </c>
      <c r="AC13">
        <f t="shared" si="6"/>
        <v>-50</v>
      </c>
      <c r="AE13">
        <f>SUM(G13:J13)+COUNTIF(AA33:AU33, "+")*Программа!$H$26+AA13</f>
        <v>0.30000000000000004</v>
      </c>
      <c r="AF13" t="str">
        <f t="shared" si="7"/>
        <v>/-50</v>
      </c>
      <c r="AG13" s="28">
        <f t="shared" si="3"/>
        <v>1</v>
      </c>
      <c r="AH13" t="s">
        <v>24</v>
      </c>
    </row>
    <row r="14" spans="1:35" x14ac:dyDescent="0.45">
      <c r="A14" s="1">
        <v>11</v>
      </c>
      <c r="B14" t="s">
        <v>63</v>
      </c>
      <c r="C14" s="25"/>
      <c r="D14" s="25"/>
      <c r="E14" s="25"/>
      <c r="F14" s="25"/>
      <c r="G14" s="26"/>
      <c r="H14" s="26"/>
      <c r="I14" s="26"/>
      <c r="J14" s="26"/>
      <c r="S14">
        <f t="shared" si="0"/>
        <v>0.30000000000000004</v>
      </c>
      <c r="T14" t="str">
        <f t="shared" si="4"/>
        <v>/0</v>
      </c>
      <c r="U14">
        <f>SUM(C14:F14)+Программа!$H$26*COUNTIF(C34:Z34, "+")+R14</f>
        <v>0.30000000000000004</v>
      </c>
      <c r="V14" t="str">
        <f t="shared" si="5"/>
        <v>/0</v>
      </c>
      <c r="Y14" s="32">
        <f t="shared" si="1"/>
        <v>0</v>
      </c>
      <c r="Z14" t="s">
        <v>24</v>
      </c>
      <c r="AA14">
        <f t="shared" si="2"/>
        <v>0.30000000000000004</v>
      </c>
      <c r="AB14" s="17" t="s">
        <v>46</v>
      </c>
      <c r="AC14">
        <f t="shared" si="6"/>
        <v>-50</v>
      </c>
      <c r="AE14">
        <f>SUM(G14:J14)+COUNTIF(AA34:AU34, "+")*Программа!$H$26+AA14</f>
        <v>0.30000000000000004</v>
      </c>
      <c r="AF14" t="str">
        <f t="shared" si="7"/>
        <v>/-50</v>
      </c>
      <c r="AG14" s="28">
        <f t="shared" si="3"/>
        <v>1</v>
      </c>
      <c r="AH14" t="s">
        <v>24</v>
      </c>
    </row>
    <row r="15" spans="1:35" hidden="1" x14ac:dyDescent="0.45">
      <c r="A15" s="1">
        <v>12</v>
      </c>
      <c r="B15" s="1"/>
      <c r="C15" s="25"/>
      <c r="D15" s="25"/>
      <c r="E15" s="25"/>
      <c r="F15" s="25"/>
      <c r="G15" s="26"/>
      <c r="H15" s="26"/>
      <c r="I15" s="26"/>
      <c r="J15" s="27"/>
      <c r="S15">
        <f t="shared" si="0"/>
        <v>0.30000000000000004</v>
      </c>
      <c r="T15" t="str">
        <f t="shared" si="4"/>
        <v>/0</v>
      </c>
      <c r="U15">
        <f>SUM(C15:F15)+Программа!$H$26*COUNTIF(C35:Z35, "+")+R15</f>
        <v>0</v>
      </c>
      <c r="V15" t="str">
        <f t="shared" si="5"/>
        <v>/0</v>
      </c>
      <c r="W15">
        <f t="shared" ref="W15:W17" si="8">U15</f>
        <v>0</v>
      </c>
      <c r="Y15" s="32">
        <f t="shared" si="1"/>
        <v>0</v>
      </c>
      <c r="Z15" t="s">
        <v>24</v>
      </c>
      <c r="AA15">
        <f t="shared" si="2"/>
        <v>0</v>
      </c>
      <c r="AB15" s="17" t="s">
        <v>46</v>
      </c>
      <c r="AC15">
        <f t="shared" si="6"/>
        <v>-50</v>
      </c>
      <c r="AE15">
        <f>SUM(G15:J15)+COUNTIF(AA35:AU35, "+")*Программа!$H$26+AA15</f>
        <v>0.30000000000000004</v>
      </c>
      <c r="AF15" t="str">
        <f t="shared" si="7"/>
        <v>/-50</v>
      </c>
      <c r="AG15" s="28">
        <f t="shared" si="3"/>
        <v>1</v>
      </c>
      <c r="AH15" t="s">
        <v>24</v>
      </c>
    </row>
    <row r="16" spans="1:35" hidden="1" x14ac:dyDescent="0.45">
      <c r="A16" s="1">
        <v>13</v>
      </c>
      <c r="B16" s="1"/>
      <c r="C16" s="25"/>
      <c r="D16" s="25"/>
      <c r="E16" s="25"/>
      <c r="F16" s="25"/>
      <c r="G16" s="26"/>
      <c r="H16" s="26"/>
      <c r="I16" s="26"/>
      <c r="J16" s="27"/>
      <c r="M16" t="s">
        <v>52</v>
      </c>
      <c r="S16">
        <f t="shared" si="0"/>
        <v>0.30000000000000004</v>
      </c>
      <c r="T16" t="str">
        <f t="shared" si="4"/>
        <v>/0</v>
      </c>
      <c r="U16">
        <f>SUM(C16:F16)+Программа!$H$26*COUNTIF(C36:Z36, "+")+R16</f>
        <v>0</v>
      </c>
      <c r="V16" t="str">
        <f t="shared" si="5"/>
        <v>/0</v>
      </c>
      <c r="W16">
        <f t="shared" si="8"/>
        <v>0</v>
      </c>
      <c r="Y16" s="32">
        <f t="shared" si="1"/>
        <v>0</v>
      </c>
      <c r="Z16" t="s">
        <v>24</v>
      </c>
      <c r="AA16">
        <f t="shared" si="2"/>
        <v>0</v>
      </c>
      <c r="AB16" s="17" t="s">
        <v>46</v>
      </c>
      <c r="AC16">
        <f t="shared" si="6"/>
        <v>-50</v>
      </c>
      <c r="AE16">
        <f>SUM(G16:J16)+COUNTIF(AA36:AU36, "+")*Программа!$H$26+AA16</f>
        <v>0.30000000000000004</v>
      </c>
      <c r="AF16" t="str">
        <f t="shared" si="7"/>
        <v>/-50</v>
      </c>
      <c r="AG16" s="28">
        <f t="shared" si="3"/>
        <v>1</v>
      </c>
      <c r="AH16" t="s">
        <v>24</v>
      </c>
    </row>
    <row r="17" spans="1:55" hidden="1" x14ac:dyDescent="0.45">
      <c r="A17" s="1">
        <v>14</v>
      </c>
      <c r="B17" s="1"/>
      <c r="C17" s="25"/>
      <c r="D17" s="25"/>
      <c r="E17" s="25"/>
      <c r="F17" s="25"/>
      <c r="G17" s="26"/>
      <c r="H17" s="26"/>
      <c r="I17" s="26"/>
      <c r="J17" s="27"/>
      <c r="S17">
        <f t="shared" si="0"/>
        <v>0.30000000000000004</v>
      </c>
      <c r="T17" t="str">
        <f t="shared" si="4"/>
        <v>/0</v>
      </c>
      <c r="U17">
        <f>SUM(C17:F17)+Программа!$H$26*COUNTIF(C37:Z37, "+")+R17</f>
        <v>0</v>
      </c>
      <c r="V17" t="str">
        <f t="shared" si="5"/>
        <v>/0</v>
      </c>
      <c r="W17">
        <f t="shared" si="8"/>
        <v>0</v>
      </c>
      <c r="Y17" s="32">
        <f t="shared" si="1"/>
        <v>0</v>
      </c>
      <c r="Z17" t="s">
        <v>24</v>
      </c>
      <c r="AA17">
        <f t="shared" si="2"/>
        <v>0</v>
      </c>
      <c r="AB17" s="17" t="s">
        <v>46</v>
      </c>
      <c r="AC17">
        <f t="shared" si="6"/>
        <v>-50</v>
      </c>
      <c r="AE17">
        <f>SUM(G17:J17)+COUNTIF(AA37:AU37, "+")*Программа!$H$26+AA17</f>
        <v>0.30000000000000004</v>
      </c>
      <c r="AF17" t="str">
        <f t="shared" si="7"/>
        <v>/-50</v>
      </c>
      <c r="AG17" s="28">
        <f t="shared" si="3"/>
        <v>1</v>
      </c>
      <c r="AH17" t="s">
        <v>24</v>
      </c>
    </row>
    <row r="19" spans="1:55" x14ac:dyDescent="0.45">
      <c r="B19" t="s">
        <v>20</v>
      </c>
    </row>
    <row r="21" spans="1:55" x14ac:dyDescent="0.45">
      <c r="B21" t="s">
        <v>0</v>
      </c>
      <c r="C21" s="38">
        <v>1</v>
      </c>
      <c r="D21" s="38"/>
      <c r="E21" s="38"/>
      <c r="F21" s="38">
        <v>2</v>
      </c>
      <c r="G21" s="38"/>
      <c r="H21" s="38"/>
      <c r="I21" s="38">
        <v>3</v>
      </c>
      <c r="J21" s="38"/>
      <c r="K21" s="38"/>
      <c r="L21" s="38">
        <v>4</v>
      </c>
      <c r="M21" s="38"/>
      <c r="N21" s="38"/>
      <c r="O21" s="38">
        <v>5</v>
      </c>
      <c r="P21" s="38"/>
      <c r="Q21" s="38"/>
      <c r="R21" s="38">
        <v>6</v>
      </c>
      <c r="S21" s="38"/>
      <c r="T21" s="38"/>
      <c r="U21" s="38">
        <v>7</v>
      </c>
      <c r="V21" s="38"/>
      <c r="W21" s="38"/>
      <c r="X21" s="38">
        <v>8</v>
      </c>
      <c r="Y21" s="38"/>
      <c r="Z21" s="38"/>
      <c r="AA21" s="38">
        <v>9</v>
      </c>
      <c r="AB21" s="38"/>
      <c r="AC21" s="38"/>
      <c r="AD21" s="38">
        <v>10</v>
      </c>
      <c r="AE21" s="38"/>
      <c r="AF21" s="38"/>
      <c r="AG21" s="38">
        <v>11</v>
      </c>
      <c r="AH21" s="38"/>
      <c r="AI21" s="38"/>
      <c r="AJ21" s="38">
        <v>12</v>
      </c>
      <c r="AK21" s="38"/>
      <c r="AL21" s="38"/>
      <c r="AM21" s="38">
        <v>13</v>
      </c>
      <c r="AN21" s="38"/>
      <c r="AO21" s="38"/>
      <c r="AP21" s="38">
        <v>14</v>
      </c>
      <c r="AQ21" s="38"/>
      <c r="AR21" s="38"/>
      <c r="AS21" s="38">
        <v>15</v>
      </c>
      <c r="AT21" s="38"/>
      <c r="AU21" s="38"/>
      <c r="AV21" s="38" t="s">
        <v>26</v>
      </c>
      <c r="AW21" s="38"/>
      <c r="AX21" s="38"/>
      <c r="AY21" s="38" t="s">
        <v>29</v>
      </c>
      <c r="AZ21" s="38"/>
      <c r="BA21" s="38"/>
      <c r="BB21" s="38" t="s">
        <v>30</v>
      </c>
      <c r="BC21" s="38"/>
    </row>
    <row r="22" spans="1:55" ht="14.65" thickBot="1" x14ac:dyDescent="0.5">
      <c r="B22" t="s">
        <v>19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37"/>
      <c r="AK22" s="37"/>
      <c r="AL22" s="37"/>
      <c r="AM22" s="6"/>
      <c r="AN22" s="6"/>
      <c r="AO22" s="6"/>
      <c r="AP22" s="6"/>
      <c r="AQ22" s="6"/>
      <c r="AR22" s="6"/>
      <c r="AS22" s="6"/>
      <c r="AT22" s="6"/>
      <c r="AU22" s="6"/>
    </row>
    <row r="23" spans="1:55" x14ac:dyDescent="0.45">
      <c r="A23" s="8" t="s">
        <v>5</v>
      </c>
      <c r="B23" s="9" t="s">
        <v>6</v>
      </c>
      <c r="C23" s="9" t="s">
        <v>48</v>
      </c>
      <c r="D23" s="9" t="s">
        <v>49</v>
      </c>
      <c r="E23" s="9" t="s">
        <v>18</v>
      </c>
      <c r="F23" s="9" t="s">
        <v>48</v>
      </c>
      <c r="G23" s="9" t="s">
        <v>49</v>
      </c>
      <c r="H23" s="9" t="s">
        <v>18</v>
      </c>
      <c r="I23" s="9" t="s">
        <v>48</v>
      </c>
      <c r="J23" s="9" t="s">
        <v>49</v>
      </c>
      <c r="K23" s="9" t="s">
        <v>18</v>
      </c>
      <c r="L23" s="9" t="s">
        <v>48</v>
      </c>
      <c r="M23" s="9" t="s">
        <v>49</v>
      </c>
      <c r="N23" s="9" t="s">
        <v>18</v>
      </c>
      <c r="O23" s="9" t="s">
        <v>48</v>
      </c>
      <c r="P23" s="9" t="s">
        <v>49</v>
      </c>
      <c r="Q23" s="9" t="s">
        <v>18</v>
      </c>
      <c r="R23" s="9" t="s">
        <v>48</v>
      </c>
      <c r="S23" s="9" t="s">
        <v>49</v>
      </c>
      <c r="T23" s="9" t="s">
        <v>18</v>
      </c>
      <c r="U23" s="9" t="s">
        <v>48</v>
      </c>
      <c r="V23" s="9" t="s">
        <v>49</v>
      </c>
      <c r="W23" s="9" t="s">
        <v>18</v>
      </c>
      <c r="X23" s="9" t="s">
        <v>48</v>
      </c>
      <c r="Y23" s="9" t="s">
        <v>49</v>
      </c>
      <c r="Z23" s="9" t="s">
        <v>18</v>
      </c>
      <c r="AA23" s="9" t="s">
        <v>48</v>
      </c>
      <c r="AB23" s="9" t="s">
        <v>49</v>
      </c>
      <c r="AC23" s="9" t="s">
        <v>18</v>
      </c>
      <c r="AD23" s="9" t="s">
        <v>48</v>
      </c>
      <c r="AE23" s="9" t="s">
        <v>49</v>
      </c>
      <c r="AF23" s="9" t="s">
        <v>18</v>
      </c>
      <c r="AG23" s="9" t="s">
        <v>48</v>
      </c>
      <c r="AH23" s="9" t="s">
        <v>49</v>
      </c>
      <c r="AI23" s="9" t="s">
        <v>18</v>
      </c>
      <c r="AJ23" s="9" t="s">
        <v>48</v>
      </c>
      <c r="AK23" s="9" t="s">
        <v>49</v>
      </c>
      <c r="AL23" s="9" t="s">
        <v>18</v>
      </c>
      <c r="AM23" s="9" t="s">
        <v>48</v>
      </c>
      <c r="AN23" s="9" t="s">
        <v>49</v>
      </c>
      <c r="AO23" s="9" t="s">
        <v>18</v>
      </c>
      <c r="AP23" s="9" t="s">
        <v>48</v>
      </c>
      <c r="AQ23" s="9" t="s">
        <v>49</v>
      </c>
      <c r="AR23" s="9" t="s">
        <v>18</v>
      </c>
      <c r="AS23" s="9" t="s">
        <v>48</v>
      </c>
      <c r="AT23" s="9" t="s">
        <v>49</v>
      </c>
      <c r="AU23" s="19" t="s">
        <v>18</v>
      </c>
      <c r="AV23" s="1" t="s">
        <v>27</v>
      </c>
      <c r="AW23" s="1" t="s">
        <v>18</v>
      </c>
      <c r="AX23" s="1" t="s">
        <v>28</v>
      </c>
      <c r="AY23" s="1" t="s">
        <v>27</v>
      </c>
      <c r="AZ23" s="1" t="s">
        <v>18</v>
      </c>
      <c r="BA23" s="1" t="s">
        <v>28</v>
      </c>
      <c r="BB23" s="1" t="s">
        <v>32</v>
      </c>
      <c r="BC23" s="21" t="s">
        <v>31</v>
      </c>
    </row>
    <row r="24" spans="1:55" x14ac:dyDescent="0.45">
      <c r="A24" s="10">
        <v>1</v>
      </c>
      <c r="B24" s="1" t="str">
        <f>B4</f>
        <v>Ахмадиев Даулет Аубакерович</v>
      </c>
      <c r="C24" s="13" t="s">
        <v>77</v>
      </c>
      <c r="D24" s="13" t="s">
        <v>77</v>
      </c>
      <c r="E24" s="13" t="s">
        <v>77</v>
      </c>
      <c r="F24" s="13" t="s">
        <v>47</v>
      </c>
      <c r="G24" s="13" t="s">
        <v>47</v>
      </c>
      <c r="H24" s="13" t="s">
        <v>47</v>
      </c>
      <c r="I24" s="13" t="s">
        <v>47</v>
      </c>
      <c r="J24" s="13" t="s">
        <v>47</v>
      </c>
      <c r="K24" s="13" t="s">
        <v>47</v>
      </c>
      <c r="L24" s="13" t="s">
        <v>47</v>
      </c>
      <c r="M24" s="13" t="s">
        <v>47</v>
      </c>
      <c r="N24" s="13" t="s">
        <v>47</v>
      </c>
      <c r="O24" s="13" t="s">
        <v>47</v>
      </c>
      <c r="P24" s="13" t="s">
        <v>47</v>
      </c>
      <c r="Q24" s="13" t="s">
        <v>47</v>
      </c>
      <c r="R24" s="13" t="s">
        <v>47</v>
      </c>
      <c r="S24" s="13" t="s">
        <v>47</v>
      </c>
      <c r="T24" s="13" t="s">
        <v>47</v>
      </c>
      <c r="U24" s="13" t="s">
        <v>47</v>
      </c>
      <c r="V24" s="13" t="s">
        <v>47</v>
      </c>
      <c r="W24" s="13" t="s">
        <v>47</v>
      </c>
      <c r="X24" s="13" t="s">
        <v>47</v>
      </c>
      <c r="Y24" s="13" t="s">
        <v>47</v>
      </c>
      <c r="Z24" s="13" t="s">
        <v>47</v>
      </c>
      <c r="AA24" s="13" t="s">
        <v>47</v>
      </c>
      <c r="AB24" s="13" t="s">
        <v>47</v>
      </c>
      <c r="AC24" s="13" t="s">
        <v>47</v>
      </c>
      <c r="AD24" s="13" t="s">
        <v>47</v>
      </c>
      <c r="AE24" s="13" t="s">
        <v>47</v>
      </c>
      <c r="AF24" s="13" t="s">
        <v>47</v>
      </c>
      <c r="AG24" s="13" t="s">
        <v>47</v>
      </c>
      <c r="AH24" s="13" t="s">
        <v>47</v>
      </c>
      <c r="AI24" s="13" t="s">
        <v>47</v>
      </c>
      <c r="AJ24" s="13" t="s">
        <v>47</v>
      </c>
      <c r="AK24" s="13" t="s">
        <v>47</v>
      </c>
      <c r="AL24" s="13" t="s">
        <v>47</v>
      </c>
      <c r="AM24" s="13" t="s">
        <v>47</v>
      </c>
      <c r="AN24" s="13" t="s">
        <v>47</v>
      </c>
      <c r="AO24" s="13" t="s">
        <v>47</v>
      </c>
      <c r="AP24" s="13" t="s">
        <v>47</v>
      </c>
      <c r="AQ24" s="13" t="s">
        <v>47</v>
      </c>
      <c r="AR24" s="13" t="s">
        <v>47</v>
      </c>
      <c r="AS24" s="13" t="s">
        <v>47</v>
      </c>
      <c r="AT24" s="13" t="s">
        <v>47</v>
      </c>
      <c r="AU24" s="13" t="s">
        <v>47</v>
      </c>
      <c r="AV24" s="1">
        <f>COUNTIF(C24:Z24, "")</f>
        <v>0</v>
      </c>
      <c r="AW24" s="1">
        <f>COUNTIF(E24, "")+COUNTIF(H24, "")+COUNTIF(K24, "")+COUNTIF(N24, "")+COUNTIF(Q24, "")+COUNTIF(T24, "")+COUNTIF(W24, "")+COUNTIF(Z24, "")</f>
        <v>0</v>
      </c>
      <c r="AX24" s="1">
        <f>COUNTIF(C24:D24, "")+COUNTIF(F24:G24, "")+COUNTIF(I24:J24, "")+COUNTIF(L24:M24, "")+COUNTIF(O24:P24, "")+COUNTIF(R24:S24, "")+COUNTIF(U24:V24, "")+COUNTIF(X24:Y24, "")</f>
        <v>0</v>
      </c>
      <c r="AY24" s="1">
        <f>COUNTIF(AA24:AU24, "")</f>
        <v>0</v>
      </c>
      <c r="AZ24" s="21">
        <f>COUNTIF(AC24, "")+COUNTIF(AF24, "")+COUNTIF(AI24, "")+COUNTIF(AL24, "")+COUNTIF(AO24, "")+COUNTIF(AR24, "")+COUNTIF(AU24, "")</f>
        <v>0</v>
      </c>
      <c r="BA24" s="21">
        <f>COUNTIF(AA24:AB24, "")+COUNTIF(AD24:AE24, "")+COUNTIF(AG24:AH24, "")+COUNTIF(AJ24:AK24, "")+COUNTIF(AM24:AN24, "")+COUNTIF(AP24:AQ24, "")+COUNTIF(AS24:AT24, "")</f>
        <v>0</v>
      </c>
      <c r="BB24" s="1">
        <f>AV24+AY24</f>
        <v>0</v>
      </c>
      <c r="BC24" s="22">
        <f>BB24/45*100</f>
        <v>0</v>
      </c>
    </row>
    <row r="25" spans="1:55" x14ac:dyDescent="0.45">
      <c r="A25" s="10">
        <v>2</v>
      </c>
      <c r="B25" s="1" t="str">
        <f t="shared" ref="B25:B37" si="9">B5</f>
        <v xml:space="preserve">Булатбекулы Ринат </v>
      </c>
      <c r="C25" s="13" t="s">
        <v>77</v>
      </c>
      <c r="D25" s="13" t="s">
        <v>77</v>
      </c>
      <c r="E25" s="13" t="s">
        <v>77</v>
      </c>
      <c r="F25" s="13" t="s">
        <v>47</v>
      </c>
      <c r="G25" s="13" t="s">
        <v>47</v>
      </c>
      <c r="H25" s="13" t="s">
        <v>47</v>
      </c>
      <c r="I25" s="13" t="s">
        <v>47</v>
      </c>
      <c r="J25" s="13" t="s">
        <v>47</v>
      </c>
      <c r="K25" s="13" t="s">
        <v>47</v>
      </c>
      <c r="L25" s="13" t="s">
        <v>47</v>
      </c>
      <c r="M25" s="13" t="s">
        <v>47</v>
      </c>
      <c r="N25" s="13" t="s">
        <v>47</v>
      </c>
      <c r="O25" s="13" t="s">
        <v>47</v>
      </c>
      <c r="P25" s="13" t="s">
        <v>47</v>
      </c>
      <c r="Q25" s="13" t="s">
        <v>47</v>
      </c>
      <c r="R25" s="13" t="s">
        <v>47</v>
      </c>
      <c r="S25" s="13" t="s">
        <v>47</v>
      </c>
      <c r="T25" s="13" t="s">
        <v>47</v>
      </c>
      <c r="U25" s="13" t="s">
        <v>47</v>
      </c>
      <c r="V25" s="13" t="s">
        <v>47</v>
      </c>
      <c r="W25" s="13" t="s">
        <v>47</v>
      </c>
      <c r="X25" s="13" t="s">
        <v>47</v>
      </c>
      <c r="Y25" s="13" t="s">
        <v>47</v>
      </c>
      <c r="Z25" s="13" t="s">
        <v>47</v>
      </c>
      <c r="AA25" s="13" t="s">
        <v>47</v>
      </c>
      <c r="AB25" s="13" t="s">
        <v>47</v>
      </c>
      <c r="AC25" s="13" t="s">
        <v>47</v>
      </c>
      <c r="AD25" s="13" t="s">
        <v>47</v>
      </c>
      <c r="AE25" s="13" t="s">
        <v>47</v>
      </c>
      <c r="AF25" s="13" t="s">
        <v>47</v>
      </c>
      <c r="AG25" s="13" t="s">
        <v>47</v>
      </c>
      <c r="AH25" s="13" t="s">
        <v>47</v>
      </c>
      <c r="AI25" s="13" t="s">
        <v>47</v>
      </c>
      <c r="AJ25" s="13" t="s">
        <v>47</v>
      </c>
      <c r="AK25" s="13" t="s">
        <v>47</v>
      </c>
      <c r="AL25" s="13" t="s">
        <v>47</v>
      </c>
      <c r="AM25" s="13" t="s">
        <v>47</v>
      </c>
      <c r="AN25" s="13" t="s">
        <v>47</v>
      </c>
      <c r="AO25" s="13" t="s">
        <v>47</v>
      </c>
      <c r="AP25" s="13" t="s">
        <v>47</v>
      </c>
      <c r="AQ25" s="13" t="s">
        <v>47</v>
      </c>
      <c r="AR25" s="13" t="s">
        <v>47</v>
      </c>
      <c r="AS25" s="13" t="s">
        <v>47</v>
      </c>
      <c r="AT25" s="13" t="s">
        <v>47</v>
      </c>
      <c r="AU25" s="13" t="s">
        <v>47</v>
      </c>
      <c r="AV25" s="1">
        <f t="shared" ref="AV25:AV34" si="10">COUNTIF(C25:Z25, "")</f>
        <v>0</v>
      </c>
      <c r="AW25" s="1">
        <f t="shared" ref="AW25:AW34" si="11">COUNTIF(E25, "")+COUNTIF(H25, "")+COUNTIF(K25, "")+COUNTIF(N25, "")+COUNTIF(Q25, "")+COUNTIF(T25, "")+COUNTIF(W25, "")+COUNTIF(Z25, "")</f>
        <v>0</v>
      </c>
      <c r="AX25" s="1">
        <f t="shared" ref="AX25:AX34" si="12">COUNTIF(C25:D25, "")+COUNTIF(F25:G25, "")+COUNTIF(I25:J25, "")+COUNTIF(L25:M25, "")+COUNTIF(O25:P25, "")+COUNTIF(R25:S25, "")+COUNTIF(U25:V25, "")+COUNTIF(X25:Y25, "")</f>
        <v>0</v>
      </c>
      <c r="AY25" s="1">
        <f t="shared" ref="AY25:AY34" si="13">COUNTIF(AA25:AU25, "")</f>
        <v>0</v>
      </c>
      <c r="AZ25" s="21">
        <f t="shared" ref="AZ25:AZ34" si="14">COUNTIF(AC25, "")+COUNTIF(AF25, "")+COUNTIF(AI25, "")+COUNTIF(AL25, "")+COUNTIF(AO25, "")+COUNTIF(AR25, "")+COUNTIF(AU25, "")</f>
        <v>0</v>
      </c>
      <c r="BA25" s="21">
        <f>COUNTIF(AA25:AB25, "")+COUNTIF(AD25:AE25, "")+COUNTIF(AG25:AH25, "")+COUNTIF(AJ25:AK25, "")+COUNTIF(AM25:AN25, "")+COUNTIF(AP25:AQ25, "")+COUNTIF(AS25:AT25, "")</f>
        <v>0</v>
      </c>
      <c r="BB25" s="1">
        <f t="shared" ref="BB25:BB34" si="15">AV25+AY25</f>
        <v>0</v>
      </c>
      <c r="BC25" s="22">
        <f t="shared" ref="BC25:BC34" si="16">BB25/45*100</f>
        <v>0</v>
      </c>
    </row>
    <row r="26" spans="1:55" x14ac:dyDescent="0.45">
      <c r="A26" s="10">
        <v>3</v>
      </c>
      <c r="B26" s="1" t="str">
        <f t="shared" si="9"/>
        <v>Гусева Алёна Сергеевна</v>
      </c>
      <c r="C26" s="13"/>
      <c r="D26" s="13"/>
      <c r="E26" s="13"/>
      <c r="F26" s="13" t="s">
        <v>47</v>
      </c>
      <c r="G26" s="13" t="s">
        <v>47</v>
      </c>
      <c r="H26" s="13" t="s">
        <v>47</v>
      </c>
      <c r="I26" s="13" t="s">
        <v>47</v>
      </c>
      <c r="J26" s="13" t="s">
        <v>47</v>
      </c>
      <c r="K26" s="13" t="s">
        <v>47</v>
      </c>
      <c r="L26" s="13" t="s">
        <v>47</v>
      </c>
      <c r="M26" s="13" t="s">
        <v>47</v>
      </c>
      <c r="N26" s="13" t="s">
        <v>47</v>
      </c>
      <c r="O26" s="13" t="s">
        <v>47</v>
      </c>
      <c r="P26" s="13" t="s">
        <v>47</v>
      </c>
      <c r="Q26" s="13" t="s">
        <v>47</v>
      </c>
      <c r="R26" s="13" t="s">
        <v>47</v>
      </c>
      <c r="S26" s="13" t="s">
        <v>47</v>
      </c>
      <c r="T26" s="13" t="s">
        <v>47</v>
      </c>
      <c r="U26" s="13" t="s">
        <v>47</v>
      </c>
      <c r="V26" s="13" t="s">
        <v>47</v>
      </c>
      <c r="W26" s="13" t="s">
        <v>47</v>
      </c>
      <c r="X26" s="13" t="s">
        <v>47</v>
      </c>
      <c r="Y26" s="13" t="s">
        <v>47</v>
      </c>
      <c r="Z26" s="13" t="s">
        <v>47</v>
      </c>
      <c r="AA26" s="13" t="s">
        <v>47</v>
      </c>
      <c r="AB26" s="13" t="s">
        <v>47</v>
      </c>
      <c r="AC26" s="13" t="s">
        <v>47</v>
      </c>
      <c r="AD26" s="13" t="s">
        <v>47</v>
      </c>
      <c r="AE26" s="13" t="s">
        <v>47</v>
      </c>
      <c r="AF26" s="13" t="s">
        <v>47</v>
      </c>
      <c r="AG26" s="13" t="s">
        <v>47</v>
      </c>
      <c r="AH26" s="13" t="s">
        <v>47</v>
      </c>
      <c r="AI26" s="13" t="s">
        <v>47</v>
      </c>
      <c r="AJ26" s="13" t="s">
        <v>47</v>
      </c>
      <c r="AK26" s="13" t="s">
        <v>47</v>
      </c>
      <c r="AL26" s="13" t="s">
        <v>47</v>
      </c>
      <c r="AM26" s="13" t="s">
        <v>47</v>
      </c>
      <c r="AN26" s="13" t="s">
        <v>47</v>
      </c>
      <c r="AO26" s="13" t="s">
        <v>47</v>
      </c>
      <c r="AP26" s="13" t="s">
        <v>47</v>
      </c>
      <c r="AQ26" s="13" t="s">
        <v>47</v>
      </c>
      <c r="AR26" s="13" t="s">
        <v>47</v>
      </c>
      <c r="AS26" s="13" t="s">
        <v>47</v>
      </c>
      <c r="AT26" s="13" t="s">
        <v>47</v>
      </c>
      <c r="AU26" s="13" t="s">
        <v>47</v>
      </c>
      <c r="AV26" s="1">
        <f t="shared" si="10"/>
        <v>3</v>
      </c>
      <c r="AW26" s="1">
        <f t="shared" si="11"/>
        <v>1</v>
      </c>
      <c r="AX26" s="1">
        <f t="shared" si="12"/>
        <v>2</v>
      </c>
      <c r="AY26" s="1">
        <f t="shared" si="13"/>
        <v>0</v>
      </c>
      <c r="AZ26" s="21">
        <f t="shared" si="14"/>
        <v>0</v>
      </c>
      <c r="BA26" s="21">
        <f t="shared" ref="BA26:BA34" si="17">COUNTIF(AA26:AB26, "")+COUNTIF(AD26:AE26, "")+COUNTIF(AG26:AH26, "")+COUNTIF(AJ26:AK26, "")+COUNTIF(AM26:AN26, "")+COUNTIF(AP26:AQ26, "")+COUNTIF(AS26:AT26, "")</f>
        <v>0</v>
      </c>
      <c r="BB26" s="1">
        <f t="shared" si="15"/>
        <v>3</v>
      </c>
      <c r="BC26" s="22">
        <f t="shared" si="16"/>
        <v>6.666666666666667</v>
      </c>
    </row>
    <row r="27" spans="1:55" x14ac:dyDescent="0.45">
      <c r="A27" s="10">
        <v>4</v>
      </c>
      <c r="B27" s="1" t="str">
        <f t="shared" si="9"/>
        <v>Жанузаков Аскар Манарбекулы</v>
      </c>
      <c r="C27" s="13" t="s">
        <v>77</v>
      </c>
      <c r="D27" s="13" t="s">
        <v>77</v>
      </c>
      <c r="E27" s="13" t="s">
        <v>77</v>
      </c>
      <c r="F27" s="13" t="s">
        <v>47</v>
      </c>
      <c r="G27" s="13" t="s">
        <v>47</v>
      </c>
      <c r="H27" s="13" t="s">
        <v>47</v>
      </c>
      <c r="I27" s="13" t="s">
        <v>47</v>
      </c>
      <c r="J27" s="13" t="s">
        <v>47</v>
      </c>
      <c r="K27" s="13" t="s">
        <v>47</v>
      </c>
      <c r="L27" s="13" t="s">
        <v>47</v>
      </c>
      <c r="M27" s="13" t="s">
        <v>47</v>
      </c>
      <c r="N27" s="13" t="s">
        <v>47</v>
      </c>
      <c r="O27" s="13" t="s">
        <v>47</v>
      </c>
      <c r="P27" s="13" t="s">
        <v>47</v>
      </c>
      <c r="Q27" s="13" t="s">
        <v>47</v>
      </c>
      <c r="R27" s="13" t="s">
        <v>47</v>
      </c>
      <c r="S27" s="13" t="s">
        <v>47</v>
      </c>
      <c r="T27" s="13" t="s">
        <v>47</v>
      </c>
      <c r="U27" s="13" t="s">
        <v>47</v>
      </c>
      <c r="V27" s="13" t="s">
        <v>47</v>
      </c>
      <c r="W27" s="13" t="s">
        <v>47</v>
      </c>
      <c r="X27" s="13" t="s">
        <v>47</v>
      </c>
      <c r="Y27" s="13" t="s">
        <v>47</v>
      </c>
      <c r="Z27" s="13" t="s">
        <v>47</v>
      </c>
      <c r="AA27" s="13" t="s">
        <v>47</v>
      </c>
      <c r="AB27" s="13" t="s">
        <v>47</v>
      </c>
      <c r="AC27" s="13" t="s">
        <v>47</v>
      </c>
      <c r="AD27" s="13" t="s">
        <v>47</v>
      </c>
      <c r="AE27" s="13" t="s">
        <v>47</v>
      </c>
      <c r="AF27" s="13" t="s">
        <v>47</v>
      </c>
      <c r="AG27" s="13" t="s">
        <v>47</v>
      </c>
      <c r="AH27" s="13" t="s">
        <v>47</v>
      </c>
      <c r="AI27" s="13" t="s">
        <v>47</v>
      </c>
      <c r="AJ27" s="13" t="s">
        <v>47</v>
      </c>
      <c r="AK27" s="13" t="s">
        <v>47</v>
      </c>
      <c r="AL27" s="13" t="s">
        <v>47</v>
      </c>
      <c r="AM27" s="13" t="s">
        <v>47</v>
      </c>
      <c r="AN27" s="13" t="s">
        <v>47</v>
      </c>
      <c r="AO27" s="13" t="s">
        <v>47</v>
      </c>
      <c r="AP27" s="13" t="s">
        <v>47</v>
      </c>
      <c r="AQ27" s="13" t="s">
        <v>47</v>
      </c>
      <c r="AR27" s="13" t="s">
        <v>47</v>
      </c>
      <c r="AS27" s="13" t="s">
        <v>47</v>
      </c>
      <c r="AT27" s="13" t="s">
        <v>47</v>
      </c>
      <c r="AU27" s="13" t="s">
        <v>47</v>
      </c>
      <c r="AV27" s="1">
        <f t="shared" si="10"/>
        <v>0</v>
      </c>
      <c r="AW27" s="1">
        <f t="shared" si="11"/>
        <v>0</v>
      </c>
      <c r="AX27" s="1">
        <f t="shared" si="12"/>
        <v>0</v>
      </c>
      <c r="AY27" s="1">
        <f t="shared" si="13"/>
        <v>0</v>
      </c>
      <c r="AZ27" s="21">
        <f t="shared" si="14"/>
        <v>0</v>
      </c>
      <c r="BA27" s="21">
        <f t="shared" si="17"/>
        <v>0</v>
      </c>
      <c r="BB27" s="1">
        <f t="shared" si="15"/>
        <v>0</v>
      </c>
      <c r="BC27" s="22">
        <f t="shared" si="16"/>
        <v>0</v>
      </c>
    </row>
    <row r="28" spans="1:55" x14ac:dyDescent="0.45">
      <c r="A28" s="10">
        <v>5</v>
      </c>
      <c r="B28" s="1" t="str">
        <f t="shared" si="9"/>
        <v>Зарипханов Қуаныш Ерланұлы</v>
      </c>
      <c r="C28" s="13" t="s">
        <v>77</v>
      </c>
      <c r="D28" s="13" t="s">
        <v>77</v>
      </c>
      <c r="E28" s="13" t="s">
        <v>77</v>
      </c>
      <c r="F28" s="13" t="s">
        <v>47</v>
      </c>
      <c r="G28" s="13" t="s">
        <v>47</v>
      </c>
      <c r="H28" s="13" t="s">
        <v>47</v>
      </c>
      <c r="I28" s="13" t="s">
        <v>47</v>
      </c>
      <c r="J28" s="13" t="s">
        <v>47</v>
      </c>
      <c r="K28" s="13" t="s">
        <v>47</v>
      </c>
      <c r="L28" s="13" t="s">
        <v>47</v>
      </c>
      <c r="M28" s="13" t="s">
        <v>47</v>
      </c>
      <c r="N28" s="13" t="s">
        <v>47</v>
      </c>
      <c r="O28" s="13" t="s">
        <v>47</v>
      </c>
      <c r="P28" s="13" t="s">
        <v>47</v>
      </c>
      <c r="Q28" s="13" t="s">
        <v>47</v>
      </c>
      <c r="R28" s="13" t="s">
        <v>47</v>
      </c>
      <c r="S28" s="13" t="s">
        <v>47</v>
      </c>
      <c r="T28" s="13" t="s">
        <v>47</v>
      </c>
      <c r="U28" s="13" t="s">
        <v>47</v>
      </c>
      <c r="V28" s="13" t="s">
        <v>47</v>
      </c>
      <c r="W28" s="13" t="s">
        <v>47</v>
      </c>
      <c r="X28" s="13" t="s">
        <v>47</v>
      </c>
      <c r="Y28" s="13" t="s">
        <v>47</v>
      </c>
      <c r="Z28" s="13" t="s">
        <v>47</v>
      </c>
      <c r="AA28" s="13" t="s">
        <v>47</v>
      </c>
      <c r="AB28" s="13" t="s">
        <v>47</v>
      </c>
      <c r="AC28" s="13" t="s">
        <v>47</v>
      </c>
      <c r="AD28" s="13" t="s">
        <v>47</v>
      </c>
      <c r="AE28" s="13" t="s">
        <v>47</v>
      </c>
      <c r="AF28" s="13" t="s">
        <v>47</v>
      </c>
      <c r="AG28" s="13" t="s">
        <v>47</v>
      </c>
      <c r="AH28" s="13" t="s">
        <v>47</v>
      </c>
      <c r="AI28" s="13" t="s">
        <v>47</v>
      </c>
      <c r="AJ28" s="13" t="s">
        <v>47</v>
      </c>
      <c r="AK28" s="13" t="s">
        <v>47</v>
      </c>
      <c r="AL28" s="13" t="s">
        <v>47</v>
      </c>
      <c r="AM28" s="13" t="s">
        <v>47</v>
      </c>
      <c r="AN28" s="13" t="s">
        <v>47</v>
      </c>
      <c r="AO28" s="13" t="s">
        <v>47</v>
      </c>
      <c r="AP28" s="13" t="s">
        <v>47</v>
      </c>
      <c r="AQ28" s="13" t="s">
        <v>47</v>
      </c>
      <c r="AR28" s="13" t="s">
        <v>47</v>
      </c>
      <c r="AS28" s="13" t="s">
        <v>47</v>
      </c>
      <c r="AT28" s="13" t="s">
        <v>47</v>
      </c>
      <c r="AU28" s="13" t="s">
        <v>47</v>
      </c>
      <c r="AV28" s="1">
        <f t="shared" si="10"/>
        <v>0</v>
      </c>
      <c r="AW28" s="1">
        <f t="shared" si="11"/>
        <v>0</v>
      </c>
      <c r="AX28" s="1">
        <f t="shared" si="12"/>
        <v>0</v>
      </c>
      <c r="AY28" s="1">
        <f t="shared" si="13"/>
        <v>0</v>
      </c>
      <c r="AZ28" s="21">
        <f t="shared" si="14"/>
        <v>0</v>
      </c>
      <c r="BA28" s="21">
        <f t="shared" si="17"/>
        <v>0</v>
      </c>
      <c r="BB28" s="1">
        <f t="shared" si="15"/>
        <v>0</v>
      </c>
      <c r="BC28" s="22">
        <f t="shared" si="16"/>
        <v>0</v>
      </c>
    </row>
    <row r="29" spans="1:55" x14ac:dyDescent="0.45">
      <c r="A29" s="10">
        <v>6</v>
      </c>
      <c r="B29" s="1" t="str">
        <f t="shared" si="9"/>
        <v>Колесников Евгений Максимович</v>
      </c>
      <c r="C29" s="13" t="s">
        <v>77</v>
      </c>
      <c r="D29" s="13" t="s">
        <v>77</v>
      </c>
      <c r="E29" s="13" t="s">
        <v>77</v>
      </c>
      <c r="F29" s="13" t="s">
        <v>47</v>
      </c>
      <c r="G29" s="13" t="s">
        <v>47</v>
      </c>
      <c r="H29" s="13" t="s">
        <v>47</v>
      </c>
      <c r="I29" s="13" t="s">
        <v>47</v>
      </c>
      <c r="J29" s="13" t="s">
        <v>47</v>
      </c>
      <c r="K29" s="13" t="s">
        <v>47</v>
      </c>
      <c r="L29" s="13" t="s">
        <v>47</v>
      </c>
      <c r="M29" s="13" t="s">
        <v>47</v>
      </c>
      <c r="N29" s="13" t="s">
        <v>47</v>
      </c>
      <c r="O29" s="13" t="s">
        <v>47</v>
      </c>
      <c r="P29" s="13" t="s">
        <v>47</v>
      </c>
      <c r="Q29" s="13" t="s">
        <v>47</v>
      </c>
      <c r="R29" s="13" t="s">
        <v>47</v>
      </c>
      <c r="S29" s="13" t="s">
        <v>47</v>
      </c>
      <c r="T29" s="13" t="s">
        <v>47</v>
      </c>
      <c r="U29" s="13" t="s">
        <v>47</v>
      </c>
      <c r="V29" s="13" t="s">
        <v>47</v>
      </c>
      <c r="W29" s="13" t="s">
        <v>47</v>
      </c>
      <c r="X29" s="13" t="s">
        <v>47</v>
      </c>
      <c r="Y29" s="13" t="s">
        <v>47</v>
      </c>
      <c r="Z29" s="13" t="s">
        <v>47</v>
      </c>
      <c r="AA29" s="13" t="s">
        <v>47</v>
      </c>
      <c r="AB29" s="13" t="s">
        <v>47</v>
      </c>
      <c r="AC29" s="13" t="s">
        <v>47</v>
      </c>
      <c r="AD29" s="13" t="s">
        <v>47</v>
      </c>
      <c r="AE29" s="13" t="s">
        <v>47</v>
      </c>
      <c r="AF29" s="13" t="s">
        <v>47</v>
      </c>
      <c r="AG29" s="13" t="s">
        <v>47</v>
      </c>
      <c r="AH29" s="13" t="s">
        <v>47</v>
      </c>
      <c r="AI29" s="13" t="s">
        <v>47</v>
      </c>
      <c r="AJ29" s="13" t="s">
        <v>47</v>
      </c>
      <c r="AK29" s="13" t="s">
        <v>47</v>
      </c>
      <c r="AL29" s="13" t="s">
        <v>47</v>
      </c>
      <c r="AM29" s="13" t="s">
        <v>47</v>
      </c>
      <c r="AN29" s="13" t="s">
        <v>47</v>
      </c>
      <c r="AO29" s="13" t="s">
        <v>47</v>
      </c>
      <c r="AP29" s="13" t="s">
        <v>47</v>
      </c>
      <c r="AQ29" s="13" t="s">
        <v>47</v>
      </c>
      <c r="AR29" s="13" t="s">
        <v>47</v>
      </c>
      <c r="AS29" s="13" t="s">
        <v>47</v>
      </c>
      <c r="AT29" s="13" t="s">
        <v>47</v>
      </c>
      <c r="AU29" s="13" t="s">
        <v>47</v>
      </c>
      <c r="AV29" s="1">
        <f t="shared" si="10"/>
        <v>0</v>
      </c>
      <c r="AW29" s="1">
        <f t="shared" si="11"/>
        <v>0</v>
      </c>
      <c r="AX29" s="1">
        <f t="shared" si="12"/>
        <v>0</v>
      </c>
      <c r="AY29" s="1">
        <f t="shared" si="13"/>
        <v>0</v>
      </c>
      <c r="AZ29" s="21">
        <f t="shared" si="14"/>
        <v>0</v>
      </c>
      <c r="BA29" s="21">
        <f t="shared" si="17"/>
        <v>0</v>
      </c>
      <c r="BB29" s="1">
        <f t="shared" si="15"/>
        <v>0</v>
      </c>
      <c r="BC29" s="22">
        <f t="shared" si="16"/>
        <v>0</v>
      </c>
    </row>
    <row r="30" spans="1:55" x14ac:dyDescent="0.45">
      <c r="A30" s="10">
        <v>7</v>
      </c>
      <c r="B30" s="1" t="str">
        <f t="shared" si="9"/>
        <v>Крикуненко Данил Александрович</v>
      </c>
      <c r="C30" s="13"/>
      <c r="D30" s="13"/>
      <c r="E30" s="13"/>
      <c r="F30" s="13" t="s">
        <v>47</v>
      </c>
      <c r="G30" s="13" t="s">
        <v>47</v>
      </c>
      <c r="H30" s="13" t="s">
        <v>47</v>
      </c>
      <c r="I30" s="13" t="s">
        <v>47</v>
      </c>
      <c r="J30" s="13" t="s">
        <v>47</v>
      </c>
      <c r="K30" s="13" t="s">
        <v>47</v>
      </c>
      <c r="L30" s="13" t="s">
        <v>47</v>
      </c>
      <c r="M30" s="13" t="s">
        <v>47</v>
      </c>
      <c r="N30" s="13" t="s">
        <v>47</v>
      </c>
      <c r="O30" s="13" t="s">
        <v>47</v>
      </c>
      <c r="P30" s="13" t="s">
        <v>47</v>
      </c>
      <c r="Q30" s="13" t="s">
        <v>47</v>
      </c>
      <c r="R30" s="13" t="s">
        <v>47</v>
      </c>
      <c r="S30" s="13" t="s">
        <v>47</v>
      </c>
      <c r="T30" s="13" t="s">
        <v>47</v>
      </c>
      <c r="U30" s="13" t="s">
        <v>47</v>
      </c>
      <c r="V30" s="13" t="s">
        <v>47</v>
      </c>
      <c r="W30" s="13" t="s">
        <v>47</v>
      </c>
      <c r="X30" s="13" t="s">
        <v>47</v>
      </c>
      <c r="Y30" s="13" t="s">
        <v>47</v>
      </c>
      <c r="Z30" s="13" t="s">
        <v>47</v>
      </c>
      <c r="AA30" s="13" t="s">
        <v>47</v>
      </c>
      <c r="AB30" s="13" t="s">
        <v>47</v>
      </c>
      <c r="AC30" s="13" t="s">
        <v>47</v>
      </c>
      <c r="AD30" s="13" t="s">
        <v>47</v>
      </c>
      <c r="AE30" s="13" t="s">
        <v>47</v>
      </c>
      <c r="AF30" s="13" t="s">
        <v>47</v>
      </c>
      <c r="AG30" s="13" t="s">
        <v>47</v>
      </c>
      <c r="AH30" s="13" t="s">
        <v>47</v>
      </c>
      <c r="AI30" s="13" t="s">
        <v>47</v>
      </c>
      <c r="AJ30" s="13" t="s">
        <v>47</v>
      </c>
      <c r="AK30" s="13" t="s">
        <v>47</v>
      </c>
      <c r="AL30" s="13" t="s">
        <v>47</v>
      </c>
      <c r="AM30" s="13" t="s">
        <v>47</v>
      </c>
      <c r="AN30" s="13" t="s">
        <v>47</v>
      </c>
      <c r="AO30" s="13" t="s">
        <v>47</v>
      </c>
      <c r="AP30" s="13" t="s">
        <v>47</v>
      </c>
      <c r="AQ30" s="13" t="s">
        <v>47</v>
      </c>
      <c r="AR30" s="13" t="s">
        <v>47</v>
      </c>
      <c r="AS30" s="13" t="s">
        <v>47</v>
      </c>
      <c r="AT30" s="13" t="s">
        <v>47</v>
      </c>
      <c r="AU30" s="13" t="s">
        <v>47</v>
      </c>
      <c r="AV30" s="1">
        <f t="shared" si="10"/>
        <v>3</v>
      </c>
      <c r="AW30" s="1">
        <f t="shared" si="11"/>
        <v>1</v>
      </c>
      <c r="AX30" s="1">
        <f t="shared" si="12"/>
        <v>2</v>
      </c>
      <c r="AY30" s="1">
        <f t="shared" si="13"/>
        <v>0</v>
      </c>
      <c r="AZ30" s="21">
        <f t="shared" si="14"/>
        <v>0</v>
      </c>
      <c r="BA30" s="21">
        <f t="shared" si="17"/>
        <v>0</v>
      </c>
      <c r="BB30" s="1">
        <f t="shared" si="15"/>
        <v>3</v>
      </c>
      <c r="BC30" s="22">
        <f t="shared" si="16"/>
        <v>6.666666666666667</v>
      </c>
    </row>
    <row r="31" spans="1:55" x14ac:dyDescent="0.45">
      <c r="A31" s="10">
        <v>8</v>
      </c>
      <c r="B31" s="1" t="str">
        <f t="shared" si="9"/>
        <v>Мягкова Софья Александровна</v>
      </c>
      <c r="C31" s="13" t="s">
        <v>77</v>
      </c>
      <c r="D31" s="13" t="s">
        <v>77</v>
      </c>
      <c r="E31" s="13" t="s">
        <v>77</v>
      </c>
      <c r="F31" s="13" t="s">
        <v>47</v>
      </c>
      <c r="G31" s="13" t="s">
        <v>47</v>
      </c>
      <c r="H31" s="13" t="s">
        <v>47</v>
      </c>
      <c r="I31" s="13" t="s">
        <v>47</v>
      </c>
      <c r="J31" s="13" t="s">
        <v>47</v>
      </c>
      <c r="K31" s="13" t="s">
        <v>47</v>
      </c>
      <c r="L31" s="13" t="s">
        <v>47</v>
      </c>
      <c r="M31" s="13" t="s">
        <v>47</v>
      </c>
      <c r="N31" s="13" t="s">
        <v>47</v>
      </c>
      <c r="O31" s="13" t="s">
        <v>47</v>
      </c>
      <c r="P31" s="13" t="s">
        <v>47</v>
      </c>
      <c r="Q31" s="13" t="s">
        <v>47</v>
      </c>
      <c r="R31" s="13" t="s">
        <v>47</v>
      </c>
      <c r="S31" s="13" t="s">
        <v>47</v>
      </c>
      <c r="T31" s="13" t="s">
        <v>47</v>
      </c>
      <c r="U31" s="13" t="s">
        <v>47</v>
      </c>
      <c r="V31" s="13" t="s">
        <v>47</v>
      </c>
      <c r="W31" s="13" t="s">
        <v>47</v>
      </c>
      <c r="X31" s="13" t="s">
        <v>47</v>
      </c>
      <c r="Y31" s="13" t="s">
        <v>47</v>
      </c>
      <c r="Z31" s="13" t="s">
        <v>47</v>
      </c>
      <c r="AA31" s="13" t="s">
        <v>47</v>
      </c>
      <c r="AB31" s="13" t="s">
        <v>47</v>
      </c>
      <c r="AC31" s="13" t="s">
        <v>47</v>
      </c>
      <c r="AD31" s="13" t="s">
        <v>47</v>
      </c>
      <c r="AE31" s="13" t="s">
        <v>47</v>
      </c>
      <c r="AF31" s="13" t="s">
        <v>47</v>
      </c>
      <c r="AG31" s="13" t="s">
        <v>47</v>
      </c>
      <c r="AH31" s="13" t="s">
        <v>47</v>
      </c>
      <c r="AI31" s="13" t="s">
        <v>47</v>
      </c>
      <c r="AJ31" s="13" t="s">
        <v>47</v>
      </c>
      <c r="AK31" s="13" t="s">
        <v>47</v>
      </c>
      <c r="AL31" s="13" t="s">
        <v>47</v>
      </c>
      <c r="AM31" s="13" t="s">
        <v>47</v>
      </c>
      <c r="AN31" s="13" t="s">
        <v>47</v>
      </c>
      <c r="AO31" s="13" t="s">
        <v>47</v>
      </c>
      <c r="AP31" s="13" t="s">
        <v>47</v>
      </c>
      <c r="AQ31" s="13" t="s">
        <v>47</v>
      </c>
      <c r="AR31" s="13" t="s">
        <v>47</v>
      </c>
      <c r="AS31" s="13" t="s">
        <v>47</v>
      </c>
      <c r="AT31" s="13" t="s">
        <v>47</v>
      </c>
      <c r="AU31" s="13" t="s">
        <v>47</v>
      </c>
      <c r="AV31" s="1">
        <f t="shared" si="10"/>
        <v>0</v>
      </c>
      <c r="AW31" s="1">
        <f t="shared" si="11"/>
        <v>0</v>
      </c>
      <c r="AX31" s="1">
        <f t="shared" si="12"/>
        <v>0</v>
      </c>
      <c r="AY31" s="1">
        <f t="shared" si="13"/>
        <v>0</v>
      </c>
      <c r="AZ31" s="21">
        <f t="shared" si="14"/>
        <v>0</v>
      </c>
      <c r="BA31" s="21">
        <f t="shared" si="17"/>
        <v>0</v>
      </c>
      <c r="BB31" s="1">
        <f t="shared" si="15"/>
        <v>0</v>
      </c>
      <c r="BC31" s="22">
        <f t="shared" si="16"/>
        <v>0</v>
      </c>
    </row>
    <row r="32" spans="1:55" x14ac:dyDescent="0.45">
      <c r="A32" s="10">
        <v>9</v>
      </c>
      <c r="B32" s="1" t="str">
        <f t="shared" si="9"/>
        <v>Смагулова Алина Айбековна</v>
      </c>
      <c r="C32" s="13"/>
      <c r="D32" s="13"/>
      <c r="E32" s="13"/>
      <c r="F32" s="13" t="s">
        <v>47</v>
      </c>
      <c r="G32" s="13" t="s">
        <v>47</v>
      </c>
      <c r="H32" s="13" t="s">
        <v>47</v>
      </c>
      <c r="I32" s="13" t="s">
        <v>47</v>
      </c>
      <c r="J32" s="13" t="s">
        <v>47</v>
      </c>
      <c r="K32" s="13" t="s">
        <v>47</v>
      </c>
      <c r="L32" s="13" t="s">
        <v>47</v>
      </c>
      <c r="M32" s="13" t="s">
        <v>47</v>
      </c>
      <c r="N32" s="13" t="s">
        <v>47</v>
      </c>
      <c r="O32" s="13" t="s">
        <v>47</v>
      </c>
      <c r="P32" s="13" t="s">
        <v>47</v>
      </c>
      <c r="Q32" s="13" t="s">
        <v>47</v>
      </c>
      <c r="R32" s="13" t="s">
        <v>47</v>
      </c>
      <c r="S32" s="13" t="s">
        <v>47</v>
      </c>
      <c r="T32" s="13" t="s">
        <v>47</v>
      </c>
      <c r="U32" s="13" t="s">
        <v>47</v>
      </c>
      <c r="V32" s="13" t="s">
        <v>47</v>
      </c>
      <c r="W32" s="13" t="s">
        <v>47</v>
      </c>
      <c r="X32" s="13" t="s">
        <v>47</v>
      </c>
      <c r="Y32" s="13" t="s">
        <v>47</v>
      </c>
      <c r="Z32" s="13" t="s">
        <v>47</v>
      </c>
      <c r="AA32" s="13" t="s">
        <v>47</v>
      </c>
      <c r="AB32" s="13" t="s">
        <v>47</v>
      </c>
      <c r="AC32" s="13" t="s">
        <v>47</v>
      </c>
      <c r="AD32" s="13" t="s">
        <v>47</v>
      </c>
      <c r="AE32" s="13" t="s">
        <v>47</v>
      </c>
      <c r="AF32" s="13" t="s">
        <v>47</v>
      </c>
      <c r="AG32" s="13" t="s">
        <v>47</v>
      </c>
      <c r="AH32" s="13" t="s">
        <v>47</v>
      </c>
      <c r="AI32" s="13" t="s">
        <v>47</v>
      </c>
      <c r="AJ32" s="13" t="s">
        <v>47</v>
      </c>
      <c r="AK32" s="13" t="s">
        <v>47</v>
      </c>
      <c r="AL32" s="13" t="s">
        <v>47</v>
      </c>
      <c r="AM32" s="13" t="s">
        <v>47</v>
      </c>
      <c r="AN32" s="13" t="s">
        <v>47</v>
      </c>
      <c r="AO32" s="13" t="s">
        <v>47</v>
      </c>
      <c r="AP32" s="13" t="s">
        <v>47</v>
      </c>
      <c r="AQ32" s="13" t="s">
        <v>47</v>
      </c>
      <c r="AR32" s="13" t="s">
        <v>47</v>
      </c>
      <c r="AS32" s="13" t="s">
        <v>47</v>
      </c>
      <c r="AT32" s="13" t="s">
        <v>47</v>
      </c>
      <c r="AU32" s="13" t="s">
        <v>47</v>
      </c>
      <c r="AV32" s="1">
        <f t="shared" si="10"/>
        <v>3</v>
      </c>
      <c r="AW32" s="1">
        <f t="shared" si="11"/>
        <v>1</v>
      </c>
      <c r="AX32" s="1">
        <f t="shared" si="12"/>
        <v>2</v>
      </c>
      <c r="AY32" s="1">
        <f t="shared" si="13"/>
        <v>0</v>
      </c>
      <c r="AZ32" s="21">
        <f t="shared" si="14"/>
        <v>0</v>
      </c>
      <c r="BA32" s="21">
        <f t="shared" si="17"/>
        <v>0</v>
      </c>
      <c r="BB32" s="1">
        <f t="shared" si="15"/>
        <v>3</v>
      </c>
      <c r="BC32" s="22">
        <f t="shared" si="16"/>
        <v>6.666666666666667</v>
      </c>
    </row>
    <row r="33" spans="1:55" x14ac:dyDescent="0.45">
      <c r="A33" s="10">
        <v>10</v>
      </c>
      <c r="B33" s="1" t="str">
        <f t="shared" si="9"/>
        <v>Чеботарь Денис Константинович</v>
      </c>
      <c r="C33" s="13" t="s">
        <v>77</v>
      </c>
      <c r="D33" s="13" t="s">
        <v>77</v>
      </c>
      <c r="E33" s="13" t="s">
        <v>77</v>
      </c>
      <c r="F33" s="13" t="s">
        <v>47</v>
      </c>
      <c r="G33" s="13" t="s">
        <v>47</v>
      </c>
      <c r="H33" s="13" t="s">
        <v>47</v>
      </c>
      <c r="I33" s="13" t="s">
        <v>47</v>
      </c>
      <c r="J33" s="13" t="s">
        <v>47</v>
      </c>
      <c r="K33" s="13" t="s">
        <v>47</v>
      </c>
      <c r="L33" s="13" t="s">
        <v>47</v>
      </c>
      <c r="M33" s="13" t="s">
        <v>47</v>
      </c>
      <c r="N33" s="13" t="s">
        <v>47</v>
      </c>
      <c r="O33" s="13" t="s">
        <v>47</v>
      </c>
      <c r="P33" s="13" t="s">
        <v>47</v>
      </c>
      <c r="Q33" s="13" t="s">
        <v>47</v>
      </c>
      <c r="R33" s="13" t="s">
        <v>47</v>
      </c>
      <c r="S33" s="13" t="s">
        <v>47</v>
      </c>
      <c r="T33" s="13" t="s">
        <v>47</v>
      </c>
      <c r="U33" s="13" t="s">
        <v>47</v>
      </c>
      <c r="V33" s="13" t="s">
        <v>47</v>
      </c>
      <c r="W33" s="13" t="s">
        <v>47</v>
      </c>
      <c r="X33" s="13" t="s">
        <v>47</v>
      </c>
      <c r="Y33" s="13" t="s">
        <v>47</v>
      </c>
      <c r="Z33" s="13" t="s">
        <v>47</v>
      </c>
      <c r="AA33" s="13" t="s">
        <v>47</v>
      </c>
      <c r="AB33" s="13" t="s">
        <v>47</v>
      </c>
      <c r="AC33" s="13" t="s">
        <v>47</v>
      </c>
      <c r="AD33" s="13" t="s">
        <v>47</v>
      </c>
      <c r="AE33" s="13" t="s">
        <v>47</v>
      </c>
      <c r="AF33" s="13" t="s">
        <v>47</v>
      </c>
      <c r="AG33" s="13" t="s">
        <v>47</v>
      </c>
      <c r="AH33" s="13" t="s">
        <v>47</v>
      </c>
      <c r="AI33" s="13" t="s">
        <v>47</v>
      </c>
      <c r="AJ33" s="13" t="s">
        <v>47</v>
      </c>
      <c r="AK33" s="13" t="s">
        <v>47</v>
      </c>
      <c r="AL33" s="13" t="s">
        <v>47</v>
      </c>
      <c r="AM33" s="13" t="s">
        <v>47</v>
      </c>
      <c r="AN33" s="13" t="s">
        <v>47</v>
      </c>
      <c r="AO33" s="13" t="s">
        <v>47</v>
      </c>
      <c r="AP33" s="13" t="s">
        <v>47</v>
      </c>
      <c r="AQ33" s="13" t="s">
        <v>47</v>
      </c>
      <c r="AR33" s="13" t="s">
        <v>47</v>
      </c>
      <c r="AS33" s="13" t="s">
        <v>47</v>
      </c>
      <c r="AT33" s="13" t="s">
        <v>47</v>
      </c>
      <c r="AU33" s="13" t="s">
        <v>47</v>
      </c>
      <c r="AV33" s="1">
        <f t="shared" si="10"/>
        <v>0</v>
      </c>
      <c r="AW33" s="1">
        <f t="shared" si="11"/>
        <v>0</v>
      </c>
      <c r="AX33" s="1">
        <f t="shared" si="12"/>
        <v>0</v>
      </c>
      <c r="AY33" s="1">
        <f t="shared" si="13"/>
        <v>0</v>
      </c>
      <c r="AZ33" s="21">
        <f t="shared" si="14"/>
        <v>0</v>
      </c>
      <c r="BA33" s="21">
        <f t="shared" si="17"/>
        <v>0</v>
      </c>
      <c r="BB33" s="1">
        <f t="shared" si="15"/>
        <v>0</v>
      </c>
      <c r="BC33" s="22">
        <f t="shared" si="16"/>
        <v>0</v>
      </c>
    </row>
    <row r="34" spans="1:55" x14ac:dyDescent="0.45">
      <c r="A34" s="10">
        <v>11</v>
      </c>
      <c r="B34" s="1" t="str">
        <f t="shared" si="9"/>
        <v>Шарыпов Александр Николаевич</v>
      </c>
      <c r="C34" s="13" t="s">
        <v>77</v>
      </c>
      <c r="D34" s="13" t="s">
        <v>77</v>
      </c>
      <c r="E34" s="13" t="s">
        <v>77</v>
      </c>
      <c r="F34" s="13" t="s">
        <v>47</v>
      </c>
      <c r="G34" s="13" t="s">
        <v>47</v>
      </c>
      <c r="H34" s="13" t="s">
        <v>47</v>
      </c>
      <c r="I34" s="13" t="s">
        <v>47</v>
      </c>
      <c r="J34" s="13" t="s">
        <v>47</v>
      </c>
      <c r="K34" s="13" t="s">
        <v>47</v>
      </c>
      <c r="L34" s="13" t="s">
        <v>47</v>
      </c>
      <c r="M34" s="13" t="s">
        <v>47</v>
      </c>
      <c r="N34" s="13" t="s">
        <v>47</v>
      </c>
      <c r="O34" s="13" t="s">
        <v>47</v>
      </c>
      <c r="P34" s="13" t="s">
        <v>47</v>
      </c>
      <c r="Q34" s="13" t="s">
        <v>47</v>
      </c>
      <c r="R34" s="13" t="s">
        <v>47</v>
      </c>
      <c r="S34" s="13" t="s">
        <v>47</v>
      </c>
      <c r="T34" s="13" t="s">
        <v>47</v>
      </c>
      <c r="U34" s="13" t="s">
        <v>47</v>
      </c>
      <c r="V34" s="13" t="s">
        <v>47</v>
      </c>
      <c r="W34" s="13" t="s">
        <v>47</v>
      </c>
      <c r="X34" s="13" t="s">
        <v>47</v>
      </c>
      <c r="Y34" s="13" t="s">
        <v>47</v>
      </c>
      <c r="Z34" s="13" t="s">
        <v>47</v>
      </c>
      <c r="AA34" s="13" t="s">
        <v>47</v>
      </c>
      <c r="AB34" s="13" t="s">
        <v>47</v>
      </c>
      <c r="AC34" s="13" t="s">
        <v>47</v>
      </c>
      <c r="AD34" s="13" t="s">
        <v>47</v>
      </c>
      <c r="AE34" s="13" t="s">
        <v>47</v>
      </c>
      <c r="AF34" s="13" t="s">
        <v>47</v>
      </c>
      <c r="AG34" s="13" t="s">
        <v>47</v>
      </c>
      <c r="AH34" s="13" t="s">
        <v>47</v>
      </c>
      <c r="AI34" s="13" t="s">
        <v>47</v>
      </c>
      <c r="AJ34" s="13" t="s">
        <v>47</v>
      </c>
      <c r="AK34" s="13" t="s">
        <v>47</v>
      </c>
      <c r="AL34" s="13" t="s">
        <v>47</v>
      </c>
      <c r="AM34" s="13" t="s">
        <v>47</v>
      </c>
      <c r="AN34" s="13" t="s">
        <v>47</v>
      </c>
      <c r="AO34" s="13" t="s">
        <v>47</v>
      </c>
      <c r="AP34" s="13" t="s">
        <v>47</v>
      </c>
      <c r="AQ34" s="13" t="s">
        <v>47</v>
      </c>
      <c r="AR34" s="13" t="s">
        <v>47</v>
      </c>
      <c r="AS34" s="13" t="s">
        <v>47</v>
      </c>
      <c r="AT34" s="13" t="s">
        <v>47</v>
      </c>
      <c r="AU34" s="13" t="s">
        <v>47</v>
      </c>
      <c r="AV34" s="1">
        <f t="shared" si="10"/>
        <v>0</v>
      </c>
      <c r="AW34" s="1">
        <f t="shared" si="11"/>
        <v>0</v>
      </c>
      <c r="AX34" s="1">
        <f t="shared" si="12"/>
        <v>0</v>
      </c>
      <c r="AY34" s="1">
        <f t="shared" si="13"/>
        <v>0</v>
      </c>
      <c r="AZ34" s="21">
        <f t="shared" si="14"/>
        <v>0</v>
      </c>
      <c r="BA34" s="21">
        <f t="shared" si="17"/>
        <v>0</v>
      </c>
      <c r="BB34" s="1">
        <f t="shared" si="15"/>
        <v>0</v>
      </c>
      <c r="BC34" s="22">
        <f t="shared" si="16"/>
        <v>0</v>
      </c>
    </row>
    <row r="35" spans="1:55" hidden="1" x14ac:dyDescent="0.45">
      <c r="A35" s="10">
        <v>12</v>
      </c>
      <c r="B35" s="1">
        <f t="shared" si="9"/>
        <v>0</v>
      </c>
      <c r="C35" s="13" t="s">
        <v>47</v>
      </c>
      <c r="D35" s="13" t="s">
        <v>47</v>
      </c>
      <c r="E35" s="13" t="s">
        <v>47</v>
      </c>
      <c r="F35" s="13" t="s">
        <v>47</v>
      </c>
      <c r="G35" s="13" t="s">
        <v>47</v>
      </c>
      <c r="H35" s="13" t="s">
        <v>47</v>
      </c>
      <c r="I35" s="13" t="s">
        <v>47</v>
      </c>
      <c r="J35" s="13" t="s">
        <v>47</v>
      </c>
      <c r="K35" s="13" t="s">
        <v>47</v>
      </c>
      <c r="L35" s="13" t="s">
        <v>47</v>
      </c>
      <c r="M35" s="13" t="s">
        <v>47</v>
      </c>
      <c r="N35" s="13" t="s">
        <v>47</v>
      </c>
      <c r="O35" s="13" t="s">
        <v>47</v>
      </c>
      <c r="P35" s="13" t="s">
        <v>47</v>
      </c>
      <c r="Q35" s="13" t="s">
        <v>47</v>
      </c>
      <c r="R35" s="13" t="s">
        <v>47</v>
      </c>
      <c r="S35" s="13" t="s">
        <v>47</v>
      </c>
      <c r="T35" s="13" t="s">
        <v>47</v>
      </c>
      <c r="U35" s="13" t="s">
        <v>47</v>
      </c>
      <c r="V35" s="13" t="s">
        <v>47</v>
      </c>
      <c r="W35" s="13" t="s">
        <v>47</v>
      </c>
      <c r="X35" s="13" t="s">
        <v>47</v>
      </c>
      <c r="Y35" s="13" t="s">
        <v>47</v>
      </c>
      <c r="Z35" s="13" t="s">
        <v>47</v>
      </c>
      <c r="AA35" s="13" t="s">
        <v>47</v>
      </c>
      <c r="AB35" s="13" t="s">
        <v>47</v>
      </c>
      <c r="AC35" s="13" t="s">
        <v>47</v>
      </c>
      <c r="AD35" s="13" t="s">
        <v>47</v>
      </c>
      <c r="AE35" s="13" t="s">
        <v>47</v>
      </c>
      <c r="AF35" s="13" t="s">
        <v>47</v>
      </c>
      <c r="AG35" s="13" t="s">
        <v>47</v>
      </c>
      <c r="AH35" s="13" t="s">
        <v>47</v>
      </c>
      <c r="AI35" s="13" t="s">
        <v>47</v>
      </c>
      <c r="AJ35" s="13" t="s">
        <v>77</v>
      </c>
      <c r="AK35" s="13" t="s">
        <v>77</v>
      </c>
      <c r="AL35" s="13" t="s">
        <v>77</v>
      </c>
      <c r="AM35" s="13" t="s">
        <v>47</v>
      </c>
      <c r="AN35" s="13" t="s">
        <v>47</v>
      </c>
      <c r="AO35" s="13" t="s">
        <v>47</v>
      </c>
      <c r="AP35" s="13" t="s">
        <v>47</v>
      </c>
      <c r="AQ35" s="13" t="s">
        <v>47</v>
      </c>
      <c r="AR35" s="13" t="s">
        <v>47</v>
      </c>
      <c r="AS35" s="13" t="s">
        <v>47</v>
      </c>
      <c r="AT35" s="13" t="s">
        <v>47</v>
      </c>
      <c r="AU35" s="13" t="s">
        <v>47</v>
      </c>
      <c r="AV35" s="1">
        <f t="shared" ref="AV35:AV36" si="18">COUNTIF(C35:Z35, "")</f>
        <v>0</v>
      </c>
      <c r="AW35" s="1">
        <f t="shared" ref="AW35:AW36" si="19">COUNTIF(E35, "")+COUNTIF(H35, "")+COUNTIF(K35, "")+COUNTIF(N35, "")+COUNTIF(Q35, "")+COUNTIF(T35, "")+COUNTIF(W35, "")+COUNTIF(Z35, "")</f>
        <v>0</v>
      </c>
      <c r="AX35" s="1">
        <f t="shared" ref="AX35:AX36" si="20">COUNTIF(C35:D35, "")+COUNTIF(F35:G35, "")+COUNTIF(I35:J35, "")+COUNTIF(L35:M35, "")+COUNTIF(O35:P35, "")+COUNTIF(R35:S35, "")+COUNTIF(U35:V35, "")+COUNTIF(X35:Y35, "")</f>
        <v>0</v>
      </c>
      <c r="AY35" s="1">
        <f t="shared" ref="AY35:AY36" si="21">COUNTIF(AA35:AU35, "")</f>
        <v>0</v>
      </c>
      <c r="AZ35" s="1">
        <f t="shared" ref="AZ35:AZ36" si="22">COUNTIF(AC35, "")+COUNTIF(AF35, "")+COUNTIF(AI35, "")+COUNTIF(AL35, "")+COUNTIF(AO35, "")+COUNTIF(AR35, "")+COUNTIF(AU35, "")</f>
        <v>0</v>
      </c>
      <c r="BA35" s="1">
        <f t="shared" ref="BA35:BA36" si="23">COUNTIF(AA35:AB35, "")+COUNTIF(AD35:AE35, "")+COUNTIF(AG35:AH35, "")+COUNTIF(AJ35:AK35, "")+COUNTIF(AM35:AN35, "")+COUNTIF(AP35:AQ35, "")+COUNTIF(AS35:AT35, "")</f>
        <v>0</v>
      </c>
      <c r="BB35" s="1">
        <f t="shared" ref="BB35:BB36" si="24">AV35+AY35</f>
        <v>0</v>
      </c>
      <c r="BC35" s="22">
        <f t="shared" ref="BC35:BC36" si="25">BB35/45*100</f>
        <v>0</v>
      </c>
    </row>
    <row r="36" spans="1:55" hidden="1" x14ac:dyDescent="0.45">
      <c r="A36" s="10">
        <v>13</v>
      </c>
      <c r="B36" s="1">
        <f t="shared" si="9"/>
        <v>0</v>
      </c>
      <c r="C36" s="13" t="s">
        <v>47</v>
      </c>
      <c r="D36" s="13" t="s">
        <v>47</v>
      </c>
      <c r="E36" s="13" t="s">
        <v>47</v>
      </c>
      <c r="F36" s="13" t="s">
        <v>47</v>
      </c>
      <c r="G36" s="13" t="s">
        <v>47</v>
      </c>
      <c r="H36" s="13" t="s">
        <v>47</v>
      </c>
      <c r="I36" s="13" t="s">
        <v>47</v>
      </c>
      <c r="J36" s="13" t="s">
        <v>47</v>
      </c>
      <c r="K36" s="13" t="s">
        <v>47</v>
      </c>
      <c r="L36" s="13" t="s">
        <v>47</v>
      </c>
      <c r="M36" s="13" t="s">
        <v>47</v>
      </c>
      <c r="N36" s="13" t="s">
        <v>47</v>
      </c>
      <c r="O36" s="13" t="s">
        <v>47</v>
      </c>
      <c r="P36" s="13" t="s">
        <v>47</v>
      </c>
      <c r="Q36" s="13" t="s">
        <v>47</v>
      </c>
      <c r="R36" s="13" t="s">
        <v>47</v>
      </c>
      <c r="S36" s="13" t="s">
        <v>47</v>
      </c>
      <c r="T36" s="13" t="s">
        <v>47</v>
      </c>
      <c r="U36" s="13" t="s">
        <v>47</v>
      </c>
      <c r="V36" s="13" t="s">
        <v>47</v>
      </c>
      <c r="W36" s="13" t="s">
        <v>47</v>
      </c>
      <c r="X36" s="13" t="s">
        <v>47</v>
      </c>
      <c r="Y36" s="13" t="s">
        <v>47</v>
      </c>
      <c r="Z36" s="13" t="s">
        <v>47</v>
      </c>
      <c r="AA36" s="13" t="s">
        <v>47</v>
      </c>
      <c r="AB36" s="13" t="s">
        <v>47</v>
      </c>
      <c r="AC36" s="13" t="s">
        <v>47</v>
      </c>
      <c r="AD36" s="13" t="s">
        <v>47</v>
      </c>
      <c r="AE36" s="13" t="s">
        <v>47</v>
      </c>
      <c r="AF36" s="13" t="s">
        <v>47</v>
      </c>
      <c r="AG36" s="13" t="s">
        <v>47</v>
      </c>
      <c r="AH36" s="13" t="s">
        <v>47</v>
      </c>
      <c r="AI36" s="13" t="s">
        <v>47</v>
      </c>
      <c r="AJ36" s="13" t="s">
        <v>77</v>
      </c>
      <c r="AK36" s="13" t="s">
        <v>77</v>
      </c>
      <c r="AL36" s="13" t="s">
        <v>77</v>
      </c>
      <c r="AM36" s="13" t="s">
        <v>47</v>
      </c>
      <c r="AN36" s="13" t="s">
        <v>47</v>
      </c>
      <c r="AO36" s="13" t="s">
        <v>47</v>
      </c>
      <c r="AP36" s="13" t="s">
        <v>47</v>
      </c>
      <c r="AQ36" s="13" t="s">
        <v>47</v>
      </c>
      <c r="AR36" s="13" t="s">
        <v>47</v>
      </c>
      <c r="AS36" s="13" t="s">
        <v>47</v>
      </c>
      <c r="AT36" s="13" t="s">
        <v>47</v>
      </c>
      <c r="AU36" s="13" t="s">
        <v>47</v>
      </c>
      <c r="AV36" s="1">
        <f t="shared" si="18"/>
        <v>0</v>
      </c>
      <c r="AW36" s="1">
        <f t="shared" si="19"/>
        <v>0</v>
      </c>
      <c r="AX36" s="1">
        <f t="shared" si="20"/>
        <v>0</v>
      </c>
      <c r="AY36" s="1">
        <f t="shared" si="21"/>
        <v>0</v>
      </c>
      <c r="AZ36" s="1">
        <f t="shared" si="22"/>
        <v>0</v>
      </c>
      <c r="BA36" s="1">
        <f t="shared" si="23"/>
        <v>0</v>
      </c>
      <c r="BB36" s="1">
        <f t="shared" si="24"/>
        <v>0</v>
      </c>
      <c r="BC36" s="22">
        <f t="shared" si="25"/>
        <v>0</v>
      </c>
    </row>
    <row r="37" spans="1:55" hidden="1" x14ac:dyDescent="0.45">
      <c r="A37" s="10">
        <v>14</v>
      </c>
      <c r="B37" s="1">
        <f t="shared" si="9"/>
        <v>0</v>
      </c>
      <c r="C37" s="13" t="s">
        <v>47</v>
      </c>
      <c r="D37" s="13" t="s">
        <v>47</v>
      </c>
      <c r="E37" s="13" t="s">
        <v>47</v>
      </c>
      <c r="F37" s="13" t="s">
        <v>47</v>
      </c>
      <c r="G37" s="13" t="s">
        <v>47</v>
      </c>
      <c r="H37" s="13" t="s">
        <v>47</v>
      </c>
      <c r="I37" s="13" t="s">
        <v>47</v>
      </c>
      <c r="J37" s="13" t="s">
        <v>47</v>
      </c>
      <c r="K37" s="13" t="s">
        <v>47</v>
      </c>
      <c r="L37" s="13" t="s">
        <v>47</v>
      </c>
      <c r="M37" s="13" t="s">
        <v>47</v>
      </c>
      <c r="N37" s="13" t="s">
        <v>47</v>
      </c>
      <c r="O37" s="13" t="s">
        <v>47</v>
      </c>
      <c r="P37" s="13" t="s">
        <v>47</v>
      </c>
      <c r="Q37" s="13" t="s">
        <v>47</v>
      </c>
      <c r="R37" s="13" t="s">
        <v>47</v>
      </c>
      <c r="S37" s="13" t="s">
        <v>47</v>
      </c>
      <c r="T37" s="13" t="s">
        <v>47</v>
      </c>
      <c r="U37" s="13" t="s">
        <v>47</v>
      </c>
      <c r="V37" s="13" t="s">
        <v>47</v>
      </c>
      <c r="W37" s="13" t="s">
        <v>47</v>
      </c>
      <c r="X37" s="13" t="s">
        <v>47</v>
      </c>
      <c r="Y37" s="13" t="s">
        <v>47</v>
      </c>
      <c r="Z37" s="13" t="s">
        <v>47</v>
      </c>
      <c r="AA37" s="13" t="s">
        <v>47</v>
      </c>
      <c r="AB37" s="13" t="s">
        <v>47</v>
      </c>
      <c r="AC37" s="13" t="s">
        <v>47</v>
      </c>
      <c r="AD37" s="13" t="s">
        <v>47</v>
      </c>
      <c r="AE37" s="13" t="s">
        <v>47</v>
      </c>
      <c r="AF37" s="13" t="s">
        <v>47</v>
      </c>
      <c r="AG37" s="13" t="s">
        <v>47</v>
      </c>
      <c r="AH37" s="13" t="s">
        <v>47</v>
      </c>
      <c r="AI37" s="13" t="s">
        <v>47</v>
      </c>
      <c r="AJ37" s="13" t="s">
        <v>77</v>
      </c>
      <c r="AK37" s="13" t="s">
        <v>77</v>
      </c>
      <c r="AL37" s="13" t="s">
        <v>77</v>
      </c>
      <c r="AM37" s="13" t="s">
        <v>47</v>
      </c>
      <c r="AN37" s="13" t="s">
        <v>47</v>
      </c>
      <c r="AO37" s="13" t="s">
        <v>47</v>
      </c>
      <c r="AP37" s="13" t="s">
        <v>47</v>
      </c>
      <c r="AQ37" s="13" t="s">
        <v>47</v>
      </c>
      <c r="AR37" s="13" t="s">
        <v>47</v>
      </c>
      <c r="AS37" s="13" t="s">
        <v>47</v>
      </c>
      <c r="AT37" s="13" t="s">
        <v>47</v>
      </c>
      <c r="AU37" s="13" t="s">
        <v>47</v>
      </c>
      <c r="AV37" s="1">
        <f t="shared" ref="AV37" si="26">COUNTIF(C37:Z37, "")</f>
        <v>0</v>
      </c>
      <c r="AW37" s="1">
        <f t="shared" ref="AW37" si="27">COUNTIF(E37, "")+COUNTIF(H37, "")+COUNTIF(K37, "")+COUNTIF(N37, "")+COUNTIF(Q37, "")+COUNTIF(T37, "")+COUNTIF(W37, "")+COUNTIF(Z37, "")</f>
        <v>0</v>
      </c>
      <c r="AX37" s="1">
        <f t="shared" ref="AX37" si="28">COUNTIF(C37:D37, "")+COUNTIF(F37:G37, "")+COUNTIF(I37:J37, "")+COUNTIF(L37:M37, "")+COUNTIF(O37:P37, "")+COUNTIF(R37:S37, "")+COUNTIF(U37:V37, "")+COUNTIF(X37:Y37, "")</f>
        <v>0</v>
      </c>
      <c r="AY37" s="1">
        <f t="shared" ref="AY37" si="29">COUNTIF(AA37:AU37, "")</f>
        <v>0</v>
      </c>
      <c r="AZ37" s="1">
        <f t="shared" ref="AZ37" si="30">COUNTIF(AC37, "")+COUNTIF(AF37, "")+COUNTIF(AI37, "")+COUNTIF(AL37, "")+COUNTIF(AO37, "")+COUNTIF(AR37, "")+COUNTIF(AU37, "")</f>
        <v>0</v>
      </c>
      <c r="BA37" s="1">
        <f t="shared" ref="BA37" si="31">COUNTIF(AA37:AB37, "")+COUNTIF(AD37:AE37, "")+COUNTIF(AG37:AH37, "")+COUNTIF(AJ37:AK37, "")+COUNTIF(AM37:AN37, "")+COUNTIF(AP37:AQ37, "")+COUNTIF(AS37:AT37, "")</f>
        <v>0</v>
      </c>
      <c r="BB37" s="1">
        <f t="shared" ref="BB37" si="32">AV37+AY37</f>
        <v>0</v>
      </c>
      <c r="BC37" s="22">
        <f t="shared" ref="BC37" si="33">BB37/45*100</f>
        <v>0</v>
      </c>
    </row>
    <row r="38" spans="1:55" ht="14.65" thickBot="1" x14ac:dyDescent="0.5">
      <c r="A38" s="11"/>
      <c r="B38" s="12" t="s">
        <v>17</v>
      </c>
      <c r="C38" s="12">
        <f>COUNTIF(C24:C37, "+")</f>
        <v>8</v>
      </c>
      <c r="D38" s="12">
        <f t="shared" ref="D38:AU38" si="34">COUNTIF(D24:D37, "+")</f>
        <v>8</v>
      </c>
      <c r="E38" s="12">
        <f t="shared" si="34"/>
        <v>8</v>
      </c>
      <c r="F38" s="12">
        <f t="shared" si="34"/>
        <v>0</v>
      </c>
      <c r="G38" s="12">
        <f t="shared" si="34"/>
        <v>0</v>
      </c>
      <c r="H38" s="12">
        <f t="shared" si="34"/>
        <v>0</v>
      </c>
      <c r="I38" s="12">
        <f t="shared" si="34"/>
        <v>0</v>
      </c>
      <c r="J38" s="12">
        <f t="shared" si="34"/>
        <v>0</v>
      </c>
      <c r="K38" s="12">
        <f t="shared" si="34"/>
        <v>0</v>
      </c>
      <c r="L38" s="12">
        <f t="shared" si="34"/>
        <v>0</v>
      </c>
      <c r="M38" s="12">
        <f t="shared" si="34"/>
        <v>0</v>
      </c>
      <c r="N38" s="12">
        <f t="shared" si="34"/>
        <v>0</v>
      </c>
      <c r="O38" s="12">
        <f t="shared" si="34"/>
        <v>0</v>
      </c>
      <c r="P38" s="12">
        <f t="shared" si="34"/>
        <v>0</v>
      </c>
      <c r="Q38" s="12">
        <f t="shared" si="34"/>
        <v>0</v>
      </c>
      <c r="R38" s="12">
        <f t="shared" si="34"/>
        <v>0</v>
      </c>
      <c r="S38" s="12">
        <f t="shared" si="34"/>
        <v>0</v>
      </c>
      <c r="T38" s="12">
        <f t="shared" si="34"/>
        <v>0</v>
      </c>
      <c r="U38" s="12">
        <f t="shared" si="34"/>
        <v>0</v>
      </c>
      <c r="V38" s="12">
        <f t="shared" si="34"/>
        <v>0</v>
      </c>
      <c r="W38" s="12">
        <f t="shared" si="34"/>
        <v>0</v>
      </c>
      <c r="X38" s="12">
        <f t="shared" si="34"/>
        <v>0</v>
      </c>
      <c r="Y38" s="12">
        <f t="shared" si="34"/>
        <v>0</v>
      </c>
      <c r="Z38" s="12">
        <f t="shared" si="34"/>
        <v>0</v>
      </c>
      <c r="AA38" s="12">
        <f t="shared" si="34"/>
        <v>0</v>
      </c>
      <c r="AB38" s="12">
        <f t="shared" si="34"/>
        <v>0</v>
      </c>
      <c r="AC38" s="12">
        <f t="shared" si="34"/>
        <v>0</v>
      </c>
      <c r="AD38" s="12">
        <f t="shared" si="34"/>
        <v>0</v>
      </c>
      <c r="AE38" s="12">
        <f t="shared" si="34"/>
        <v>0</v>
      </c>
      <c r="AF38" s="12">
        <f t="shared" si="34"/>
        <v>0</v>
      </c>
      <c r="AG38" s="12">
        <f t="shared" si="34"/>
        <v>0</v>
      </c>
      <c r="AH38" s="12">
        <f t="shared" si="34"/>
        <v>0</v>
      </c>
      <c r="AI38" s="12">
        <f t="shared" si="34"/>
        <v>0</v>
      </c>
      <c r="AJ38" s="12">
        <f t="shared" si="34"/>
        <v>3</v>
      </c>
      <c r="AK38" s="12">
        <f t="shared" si="34"/>
        <v>3</v>
      </c>
      <c r="AL38" s="12">
        <f t="shared" si="34"/>
        <v>3</v>
      </c>
      <c r="AM38" s="12">
        <f t="shared" si="34"/>
        <v>0</v>
      </c>
      <c r="AN38" s="12">
        <f t="shared" si="34"/>
        <v>0</v>
      </c>
      <c r="AO38" s="12">
        <f t="shared" si="34"/>
        <v>0</v>
      </c>
      <c r="AP38" s="12">
        <f t="shared" si="34"/>
        <v>0</v>
      </c>
      <c r="AQ38" s="12">
        <f t="shared" si="34"/>
        <v>0</v>
      </c>
      <c r="AR38" s="12">
        <f t="shared" si="34"/>
        <v>0</v>
      </c>
      <c r="AS38" s="12">
        <f t="shared" si="34"/>
        <v>0</v>
      </c>
      <c r="AT38" s="12">
        <f t="shared" si="34"/>
        <v>0</v>
      </c>
      <c r="AU38" s="12">
        <f t="shared" si="34"/>
        <v>0</v>
      </c>
      <c r="BC38" s="20"/>
    </row>
  </sheetData>
  <mergeCells count="20">
    <mergeCell ref="C2:J2"/>
    <mergeCell ref="R21:T21"/>
    <mergeCell ref="C21:E21"/>
    <mergeCell ref="F21:H21"/>
    <mergeCell ref="I21:K21"/>
    <mergeCell ref="L21:N21"/>
    <mergeCell ref="O21:Q21"/>
    <mergeCell ref="AJ22:AL22"/>
    <mergeCell ref="AV21:AX21"/>
    <mergeCell ref="AY21:BA21"/>
    <mergeCell ref="BB21:BC21"/>
    <mergeCell ref="U21:W21"/>
    <mergeCell ref="X21:Z21"/>
    <mergeCell ref="AA21:AC21"/>
    <mergeCell ref="AD21:AF21"/>
    <mergeCell ref="AG21:AI21"/>
    <mergeCell ref="AJ21:AL21"/>
    <mergeCell ref="AM21:AO21"/>
    <mergeCell ref="AP21:AR21"/>
    <mergeCell ref="AS21:AU21"/>
  </mergeCells>
  <phoneticPr fontId="1" type="noConversion"/>
  <conditionalFormatting sqref="C24:AU37">
    <cfRule type="cellIs" dxfId="3" priority="2" operator="equal">
      <formula>"+"</formula>
    </cfRule>
  </conditionalFormatting>
  <conditionalFormatting sqref="BC24:BC38">
    <cfRule type="cellIs" dxfId="2" priority="3" operator="greater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8"/>
  <sheetViews>
    <sheetView zoomScale="115" zoomScaleNormal="115" workbookViewId="0">
      <pane xSplit="2" topLeftCell="C1" activePane="topRight" state="frozen"/>
      <selection pane="topRight" activeCell="C37" sqref="C24:E37"/>
    </sheetView>
  </sheetViews>
  <sheetFormatPr defaultRowHeight="14.25" x14ac:dyDescent="0.45"/>
  <cols>
    <col min="1" max="1" width="5.1328125" customWidth="1"/>
    <col min="2" max="2" width="39.46484375" customWidth="1"/>
    <col min="18" max="18" width="7.86328125" customWidth="1"/>
    <col min="19" max="20" width="8.53125" customWidth="1"/>
    <col min="21" max="21" width="8.86328125" customWidth="1"/>
    <col min="22" max="22" width="9.33203125" customWidth="1"/>
    <col min="25" max="25" width="8.86328125" customWidth="1"/>
    <col min="48" max="48" width="10" customWidth="1"/>
    <col min="55" max="55" width="10.53125" bestFit="1" customWidth="1"/>
  </cols>
  <sheetData>
    <row r="1" spans="1:35" x14ac:dyDescent="0.45">
      <c r="B1" t="s">
        <v>21</v>
      </c>
    </row>
    <row r="2" spans="1:35" x14ac:dyDescent="0.45">
      <c r="C2" s="39" t="s">
        <v>45</v>
      </c>
      <c r="D2" s="39"/>
      <c r="E2" s="39"/>
      <c r="F2" s="39"/>
      <c r="G2" s="39"/>
      <c r="H2" s="39"/>
      <c r="I2" s="39"/>
      <c r="J2" s="39"/>
      <c r="W2" t="s">
        <v>51</v>
      </c>
    </row>
    <row r="3" spans="1:35" x14ac:dyDescent="0.45">
      <c r="A3" s="1" t="s">
        <v>5</v>
      </c>
      <c r="B3" s="1" t="s">
        <v>6</v>
      </c>
      <c r="C3" s="25" t="s">
        <v>7</v>
      </c>
      <c r="D3" s="25" t="s">
        <v>8</v>
      </c>
      <c r="E3" s="25" t="s">
        <v>9</v>
      </c>
      <c r="F3" s="25" t="s">
        <v>10</v>
      </c>
      <c r="G3" s="26" t="s">
        <v>11</v>
      </c>
      <c r="H3" s="26" t="s">
        <v>12</v>
      </c>
      <c r="I3" s="26" t="s">
        <v>13</v>
      </c>
      <c r="J3" s="27" t="s">
        <v>14</v>
      </c>
      <c r="R3" s="7"/>
      <c r="S3" s="5" t="s">
        <v>4</v>
      </c>
      <c r="U3" s="5" t="s">
        <v>16</v>
      </c>
      <c r="V3" s="5"/>
      <c r="W3" s="7" t="s">
        <v>34</v>
      </c>
      <c r="Y3" s="5" t="s">
        <v>15</v>
      </c>
      <c r="AA3" t="s">
        <v>22</v>
      </c>
      <c r="AE3" t="s">
        <v>23</v>
      </c>
      <c r="AG3" s="5" t="s">
        <v>25</v>
      </c>
      <c r="AI3" t="s">
        <v>79</v>
      </c>
    </row>
    <row r="4" spans="1:35" x14ac:dyDescent="0.45">
      <c r="A4" s="1">
        <v>1</v>
      </c>
      <c r="B4" t="s">
        <v>64</v>
      </c>
      <c r="C4" s="25"/>
      <c r="D4" s="25"/>
      <c r="E4" s="25"/>
      <c r="F4" s="25"/>
      <c r="G4" s="26"/>
      <c r="H4" s="26"/>
      <c r="I4" s="26"/>
      <c r="J4" s="27"/>
      <c r="S4">
        <f>U4+AE4-AA4</f>
        <v>0.30000000000000004</v>
      </c>
      <c r="T4" t="str">
        <f>_xlfn.CONCAT("/", Программа!$J$23)</f>
        <v>/0</v>
      </c>
      <c r="U4">
        <f>SUM(C4:F4)+Программа!$H$26*COUNTIF(C24:Z24, "+")+R4</f>
        <v>0.30000000000000004</v>
      </c>
      <c r="V4" t="str">
        <f>_xlfn.CONCAT("/",Программа!$H$21)</f>
        <v>/0</v>
      </c>
      <c r="Y4" s="28">
        <f>IF(W4&gt;60, 100, ROUND(W4/60*100,0))</f>
        <v>0</v>
      </c>
      <c r="Z4" t="s">
        <v>24</v>
      </c>
      <c r="AA4">
        <f>U4-W4</f>
        <v>0.30000000000000004</v>
      </c>
      <c r="AB4" s="17" t="s">
        <v>46</v>
      </c>
      <c r="AC4">
        <f>Программа!$I$22</f>
        <v>-50</v>
      </c>
      <c r="AE4">
        <f>SUM(G4:J4)+COUNTIF(AA24:AU24, "+")*Программа!$H$26+AA4</f>
        <v>0.30000000000000004</v>
      </c>
      <c r="AF4" t="str">
        <f>_xlfn.CONCAT("/",Программа!$I$23)</f>
        <v>/-50</v>
      </c>
      <c r="AG4" s="28">
        <f>IF(AE4&gt;60, 100, ROUND(AE4/60*100, 0))</f>
        <v>1</v>
      </c>
      <c r="AH4" t="s">
        <v>24</v>
      </c>
    </row>
    <row r="5" spans="1:35" x14ac:dyDescent="0.45">
      <c r="A5" s="1">
        <v>2</v>
      </c>
      <c r="B5" t="s">
        <v>65</v>
      </c>
      <c r="C5" s="25"/>
      <c r="D5" s="25"/>
      <c r="E5" s="25"/>
      <c r="F5" s="25"/>
      <c r="G5" s="26"/>
      <c r="H5" s="26"/>
      <c r="I5" s="26"/>
      <c r="J5" s="27"/>
      <c r="S5">
        <f t="shared" ref="S5:S17" si="0">U5+AE5-AA5</f>
        <v>0.30000000000000004</v>
      </c>
      <c r="T5" t="str">
        <f>T4</f>
        <v>/0</v>
      </c>
      <c r="U5">
        <f>SUM(C5:F5)+Программа!$H$26*COUNTIF(C25:Z25, "+")+R5</f>
        <v>0.30000000000000004</v>
      </c>
      <c r="V5" t="str">
        <f>V4</f>
        <v>/0</v>
      </c>
      <c r="Y5" s="28">
        <f t="shared" ref="Y5:Y17" si="1">IF(W5&gt;60, 100, ROUND(W5/60*100,0))</f>
        <v>0</v>
      </c>
      <c r="Z5" t="s">
        <v>24</v>
      </c>
      <c r="AA5">
        <f t="shared" ref="AA5:AA17" si="2">U5-W5</f>
        <v>0.30000000000000004</v>
      </c>
      <c r="AB5" s="17" t="s">
        <v>46</v>
      </c>
      <c r="AC5">
        <f>AC4</f>
        <v>-50</v>
      </c>
      <c r="AE5">
        <f>SUM(G5:J5)+COUNTIF(AA25:AU25, "+")*Программа!$H$26+AA5</f>
        <v>0.30000000000000004</v>
      </c>
      <c r="AF5" t="str">
        <f t="shared" ref="AF5:AF17" si="3">$AF$4</f>
        <v>/-50</v>
      </c>
      <c r="AG5" s="28">
        <f t="shared" ref="AG5:AG17" si="4">IF(AE5&gt;60, 100, ROUND(AE5/60*100, 0))</f>
        <v>1</v>
      </c>
      <c r="AH5" t="s">
        <v>24</v>
      </c>
    </row>
    <row r="6" spans="1:35" x14ac:dyDescent="0.45">
      <c r="A6" s="1">
        <v>3</v>
      </c>
      <c r="B6" t="s">
        <v>66</v>
      </c>
      <c r="C6" s="25"/>
      <c r="D6" s="25"/>
      <c r="E6" s="25"/>
      <c r="F6" s="25"/>
      <c r="G6" s="26"/>
      <c r="H6" s="26"/>
      <c r="I6" s="26"/>
      <c r="J6" s="27"/>
      <c r="S6">
        <f t="shared" si="0"/>
        <v>0</v>
      </c>
      <c r="T6" t="str">
        <f t="shared" ref="T6:T17" si="5">T5</f>
        <v>/0</v>
      </c>
      <c r="U6">
        <f>SUM(C6:F6)+Программа!$H$26*COUNTIF(C26:Z26, "+")+R6</f>
        <v>0</v>
      </c>
      <c r="V6" t="str">
        <f t="shared" ref="V6:V17" si="6">V5</f>
        <v>/0</v>
      </c>
      <c r="Y6" s="28">
        <f t="shared" si="1"/>
        <v>0</v>
      </c>
      <c r="Z6" t="s">
        <v>24</v>
      </c>
      <c r="AA6">
        <f t="shared" si="2"/>
        <v>0</v>
      </c>
      <c r="AB6" s="17" t="s">
        <v>46</v>
      </c>
      <c r="AC6">
        <f t="shared" ref="AC6:AC17" si="7">AC5</f>
        <v>-50</v>
      </c>
      <c r="AE6">
        <f>SUM(G6:J6)+COUNTIF(AA26:AU26, "+")*Программа!$H$26+AA6</f>
        <v>0</v>
      </c>
      <c r="AF6" t="str">
        <f t="shared" si="3"/>
        <v>/-50</v>
      </c>
      <c r="AG6" s="28">
        <f t="shared" si="4"/>
        <v>0</v>
      </c>
      <c r="AH6" t="s">
        <v>24</v>
      </c>
    </row>
    <row r="7" spans="1:35" x14ac:dyDescent="0.45">
      <c r="A7" s="1">
        <v>4</v>
      </c>
      <c r="B7" t="s">
        <v>67</v>
      </c>
      <c r="C7" s="25"/>
      <c r="D7" s="25"/>
      <c r="E7" s="25"/>
      <c r="F7" s="25"/>
      <c r="G7" s="26"/>
      <c r="H7" s="26"/>
      <c r="I7" s="26"/>
      <c r="J7" s="27"/>
      <c r="S7">
        <f t="shared" si="0"/>
        <v>0.30000000000000004</v>
      </c>
      <c r="T7" t="str">
        <f t="shared" si="5"/>
        <v>/0</v>
      </c>
      <c r="U7">
        <f>SUM(C7:F7)+Программа!$H$26*COUNTIF(C27:Z27, "+")+R7</f>
        <v>0.30000000000000004</v>
      </c>
      <c r="V7" t="str">
        <f t="shared" si="6"/>
        <v>/0</v>
      </c>
      <c r="Y7" s="28">
        <f t="shared" si="1"/>
        <v>0</v>
      </c>
      <c r="Z7" t="s">
        <v>24</v>
      </c>
      <c r="AA7">
        <f t="shared" si="2"/>
        <v>0.30000000000000004</v>
      </c>
      <c r="AB7" s="17" t="s">
        <v>46</v>
      </c>
      <c r="AC7">
        <f t="shared" si="7"/>
        <v>-50</v>
      </c>
      <c r="AE7">
        <f>SUM(G7:J7)+COUNTIF(AA27:AU27, "+")*Программа!$H$26+AA7</f>
        <v>0.30000000000000004</v>
      </c>
      <c r="AF7" t="str">
        <f t="shared" si="3"/>
        <v>/-50</v>
      </c>
      <c r="AG7" s="28">
        <f t="shared" si="4"/>
        <v>1</v>
      </c>
      <c r="AH7" t="s">
        <v>24</v>
      </c>
    </row>
    <row r="8" spans="1:35" x14ac:dyDescent="0.45">
      <c r="A8" s="1">
        <v>5</v>
      </c>
      <c r="B8" t="s">
        <v>68</v>
      </c>
      <c r="C8" s="25"/>
      <c r="D8" s="25"/>
      <c r="E8" s="25"/>
      <c r="F8" s="25"/>
      <c r="G8" s="26"/>
      <c r="H8" s="26"/>
      <c r="I8" s="26"/>
      <c r="J8" s="27"/>
      <c r="S8">
        <f t="shared" si="0"/>
        <v>0</v>
      </c>
      <c r="T8" t="str">
        <f t="shared" si="5"/>
        <v>/0</v>
      </c>
      <c r="U8">
        <f>SUM(C8:F8)+Программа!$H$26*COUNTIF(C28:Z28, "+")+R8</f>
        <v>0</v>
      </c>
      <c r="V8" t="str">
        <f t="shared" si="6"/>
        <v>/0</v>
      </c>
      <c r="Y8" s="28">
        <f t="shared" si="1"/>
        <v>0</v>
      </c>
      <c r="Z8" t="s">
        <v>24</v>
      </c>
      <c r="AA8">
        <f t="shared" si="2"/>
        <v>0</v>
      </c>
      <c r="AB8" s="17" t="s">
        <v>46</v>
      </c>
      <c r="AC8">
        <f t="shared" si="7"/>
        <v>-50</v>
      </c>
      <c r="AE8">
        <f>SUM(G8:J8)+COUNTIF(AA28:AU28, "+")*Программа!$H$26+AA8</f>
        <v>0</v>
      </c>
      <c r="AF8" t="str">
        <f t="shared" si="3"/>
        <v>/-50</v>
      </c>
      <c r="AG8" s="28">
        <f t="shared" si="4"/>
        <v>0</v>
      </c>
      <c r="AH8" t="s">
        <v>24</v>
      </c>
    </row>
    <row r="9" spans="1:35" x14ac:dyDescent="0.45">
      <c r="A9" s="1">
        <v>6</v>
      </c>
      <c r="B9" t="s">
        <v>69</v>
      </c>
      <c r="C9" s="25"/>
      <c r="D9" s="25"/>
      <c r="E9" s="25"/>
      <c r="F9" s="25"/>
      <c r="G9" s="26"/>
      <c r="H9" s="26"/>
      <c r="I9" s="26"/>
      <c r="J9" s="27"/>
      <c r="S9">
        <f t="shared" si="0"/>
        <v>0</v>
      </c>
      <c r="T9" t="str">
        <f t="shared" si="5"/>
        <v>/0</v>
      </c>
      <c r="U9">
        <f>SUM(C9:F9)+Программа!$H$26*COUNTIF(C29:Z29, "+")+R9</f>
        <v>0</v>
      </c>
      <c r="V9" t="str">
        <f t="shared" si="6"/>
        <v>/0</v>
      </c>
      <c r="Y9" s="28">
        <f t="shared" si="1"/>
        <v>0</v>
      </c>
      <c r="Z9" t="s">
        <v>24</v>
      </c>
      <c r="AA9">
        <f t="shared" si="2"/>
        <v>0</v>
      </c>
      <c r="AB9" s="17" t="s">
        <v>46</v>
      </c>
      <c r="AC9">
        <f t="shared" si="7"/>
        <v>-50</v>
      </c>
      <c r="AE9">
        <f>SUM(G9:J9)+COUNTIF(AA29:AU29, "+")*Программа!$H$26+AA9</f>
        <v>0</v>
      </c>
      <c r="AF9" t="str">
        <f t="shared" si="3"/>
        <v>/-50</v>
      </c>
      <c r="AG9" s="28">
        <f t="shared" si="4"/>
        <v>0</v>
      </c>
      <c r="AH9" t="s">
        <v>24</v>
      </c>
    </row>
    <row r="10" spans="1:35" x14ac:dyDescent="0.45">
      <c r="A10" s="1">
        <v>7</v>
      </c>
      <c r="B10" t="s">
        <v>70</v>
      </c>
      <c r="C10" s="25"/>
      <c r="D10" s="25"/>
      <c r="E10" s="25"/>
      <c r="F10" s="25"/>
      <c r="G10" s="26"/>
      <c r="H10" s="26"/>
      <c r="I10" s="26"/>
      <c r="J10" s="27"/>
      <c r="S10">
        <f t="shared" si="0"/>
        <v>0</v>
      </c>
      <c r="T10" t="str">
        <f t="shared" si="5"/>
        <v>/0</v>
      </c>
      <c r="U10">
        <f>SUM(C10:F10)+Программа!$H$26*COUNTIF(C30:Z30, "+")+R10</f>
        <v>0</v>
      </c>
      <c r="V10" t="str">
        <f t="shared" si="6"/>
        <v>/0</v>
      </c>
      <c r="Y10" s="28">
        <f t="shared" si="1"/>
        <v>0</v>
      </c>
      <c r="Z10" t="s">
        <v>24</v>
      </c>
      <c r="AA10">
        <f t="shared" si="2"/>
        <v>0</v>
      </c>
      <c r="AB10" s="17" t="s">
        <v>46</v>
      </c>
      <c r="AC10">
        <f t="shared" si="7"/>
        <v>-50</v>
      </c>
      <c r="AE10">
        <f>SUM(G10:J10)+COUNTIF(AA30:AU30, "+")*Программа!$H$26+AA10</f>
        <v>0</v>
      </c>
      <c r="AF10" t="str">
        <f t="shared" si="3"/>
        <v>/-50</v>
      </c>
      <c r="AG10" s="28">
        <f t="shared" si="4"/>
        <v>0</v>
      </c>
      <c r="AH10" t="s">
        <v>24</v>
      </c>
    </row>
    <row r="11" spans="1:35" x14ac:dyDescent="0.45">
      <c r="A11" s="1">
        <v>8</v>
      </c>
      <c r="B11" t="s">
        <v>71</v>
      </c>
      <c r="C11" s="25"/>
      <c r="D11" s="25"/>
      <c r="E11" s="25"/>
      <c r="F11" s="25"/>
      <c r="G11" s="26"/>
      <c r="H11" s="26"/>
      <c r="I11" s="26"/>
      <c r="J11" s="27"/>
      <c r="S11">
        <f t="shared" si="0"/>
        <v>0</v>
      </c>
      <c r="T11" t="str">
        <f t="shared" si="5"/>
        <v>/0</v>
      </c>
      <c r="U11">
        <f>SUM(C11:F11)+Программа!$H$26*COUNTIF(C31:Z31, "+")+R11</f>
        <v>0</v>
      </c>
      <c r="V11" t="str">
        <f t="shared" si="6"/>
        <v>/0</v>
      </c>
      <c r="Y11" s="28">
        <f t="shared" si="1"/>
        <v>0</v>
      </c>
      <c r="Z11" t="s">
        <v>24</v>
      </c>
      <c r="AA11">
        <f t="shared" si="2"/>
        <v>0</v>
      </c>
      <c r="AB11" s="17" t="s">
        <v>46</v>
      </c>
      <c r="AC11">
        <f t="shared" si="7"/>
        <v>-50</v>
      </c>
      <c r="AE11">
        <f>SUM(G11:J11)+COUNTIF(AA31:AU31, "+")*Программа!$H$26+AA11</f>
        <v>0</v>
      </c>
      <c r="AF11" t="str">
        <f t="shared" si="3"/>
        <v>/-50</v>
      </c>
      <c r="AG11" s="28">
        <f t="shared" si="4"/>
        <v>0</v>
      </c>
      <c r="AH11" t="s">
        <v>24</v>
      </c>
    </row>
    <row r="12" spans="1:35" x14ac:dyDescent="0.45">
      <c r="A12" s="1">
        <v>9</v>
      </c>
      <c r="B12" t="s">
        <v>72</v>
      </c>
      <c r="C12" s="25"/>
      <c r="D12" s="25"/>
      <c r="E12" s="25"/>
      <c r="F12" s="25"/>
      <c r="G12" s="26"/>
      <c r="H12" s="26"/>
      <c r="I12" s="26"/>
      <c r="J12" s="27"/>
      <c r="S12">
        <f t="shared" si="0"/>
        <v>0</v>
      </c>
      <c r="T12" t="str">
        <f t="shared" si="5"/>
        <v>/0</v>
      </c>
      <c r="U12">
        <f>SUM(C12:F12)+Программа!$H$26*COUNTIF(C32:Z32, "+")+R12</f>
        <v>0</v>
      </c>
      <c r="V12" t="str">
        <f t="shared" si="6"/>
        <v>/0</v>
      </c>
      <c r="Y12" s="28">
        <f t="shared" si="1"/>
        <v>0</v>
      </c>
      <c r="Z12" t="s">
        <v>24</v>
      </c>
      <c r="AA12">
        <f t="shared" si="2"/>
        <v>0</v>
      </c>
      <c r="AB12" s="17" t="s">
        <v>46</v>
      </c>
      <c r="AC12">
        <f t="shared" si="7"/>
        <v>-50</v>
      </c>
      <c r="AE12">
        <f>SUM(G12:J12)+COUNTIF(AA32:AU32, "+")*Программа!$H$26+AA12</f>
        <v>0</v>
      </c>
      <c r="AF12" t="str">
        <f t="shared" si="3"/>
        <v>/-50</v>
      </c>
      <c r="AG12" s="28">
        <f t="shared" si="4"/>
        <v>0</v>
      </c>
      <c r="AH12" t="s">
        <v>24</v>
      </c>
    </row>
    <row r="13" spans="1:35" x14ac:dyDescent="0.45">
      <c r="A13" s="1">
        <v>10</v>
      </c>
      <c r="B13" t="s">
        <v>80</v>
      </c>
      <c r="C13" s="25"/>
      <c r="D13" s="25"/>
      <c r="E13" s="25"/>
      <c r="F13" s="25"/>
      <c r="G13" s="26"/>
      <c r="H13" s="26"/>
      <c r="I13" s="26"/>
      <c r="J13" s="27"/>
      <c r="S13">
        <f t="shared" si="0"/>
        <v>0</v>
      </c>
      <c r="T13" t="str">
        <f t="shared" si="5"/>
        <v>/0</v>
      </c>
      <c r="U13">
        <f>SUM(C13:F13)+Программа!$H$26*COUNTIF(C33:Z33, "+")+R13</f>
        <v>0</v>
      </c>
      <c r="V13" t="str">
        <f t="shared" si="6"/>
        <v>/0</v>
      </c>
      <c r="Y13" s="28">
        <f t="shared" si="1"/>
        <v>0</v>
      </c>
      <c r="Z13" t="s">
        <v>24</v>
      </c>
      <c r="AA13">
        <f t="shared" si="2"/>
        <v>0</v>
      </c>
      <c r="AB13" s="17" t="s">
        <v>46</v>
      </c>
      <c r="AC13">
        <f t="shared" si="7"/>
        <v>-50</v>
      </c>
      <c r="AE13">
        <f>SUM(G13:J13)+COUNTIF(AA33:AU33, "+")*Программа!$H$26+AA13</f>
        <v>0</v>
      </c>
      <c r="AF13" t="str">
        <f t="shared" si="3"/>
        <v>/-50</v>
      </c>
      <c r="AG13" s="28">
        <f t="shared" si="4"/>
        <v>0</v>
      </c>
      <c r="AH13" t="s">
        <v>24</v>
      </c>
    </row>
    <row r="14" spans="1:35" x14ac:dyDescent="0.45">
      <c r="A14" s="1">
        <v>11</v>
      </c>
      <c r="B14" t="s">
        <v>73</v>
      </c>
      <c r="C14" s="25"/>
      <c r="D14" s="25"/>
      <c r="E14" s="25"/>
      <c r="F14" s="25"/>
      <c r="G14" s="26"/>
      <c r="H14" s="26"/>
      <c r="I14" s="26"/>
      <c r="J14" s="27"/>
      <c r="S14">
        <f t="shared" si="0"/>
        <v>0.30000000000000004</v>
      </c>
      <c r="T14" t="str">
        <f t="shared" si="5"/>
        <v>/0</v>
      </c>
      <c r="U14">
        <f>SUM(C14:F14)+Программа!$H$26*COUNTIF(C34:Z34, "+")+R14</f>
        <v>0.30000000000000004</v>
      </c>
      <c r="V14" t="str">
        <f t="shared" si="6"/>
        <v>/0</v>
      </c>
      <c r="Y14" s="28">
        <f t="shared" si="1"/>
        <v>0</v>
      </c>
      <c r="Z14" t="s">
        <v>24</v>
      </c>
      <c r="AA14">
        <f t="shared" si="2"/>
        <v>0.30000000000000004</v>
      </c>
      <c r="AB14" s="17" t="s">
        <v>46</v>
      </c>
      <c r="AC14">
        <f t="shared" si="7"/>
        <v>-50</v>
      </c>
      <c r="AE14">
        <f>SUM(G14:J14)+COUNTIF(AA34:AU34, "+")*Программа!$H$26+AA14</f>
        <v>0.30000000000000004</v>
      </c>
      <c r="AF14" t="str">
        <f t="shared" si="3"/>
        <v>/-50</v>
      </c>
      <c r="AG14" s="28">
        <f t="shared" si="4"/>
        <v>1</v>
      </c>
      <c r="AH14" t="s">
        <v>24</v>
      </c>
    </row>
    <row r="15" spans="1:35" x14ac:dyDescent="0.45">
      <c r="A15" s="1">
        <v>12</v>
      </c>
      <c r="B15" t="s">
        <v>74</v>
      </c>
      <c r="C15" s="25"/>
      <c r="D15" s="25"/>
      <c r="E15" s="25"/>
      <c r="F15" s="25"/>
      <c r="G15" s="26"/>
      <c r="H15" s="26"/>
      <c r="I15" s="26"/>
      <c r="J15" s="27"/>
      <c r="S15">
        <f t="shared" si="0"/>
        <v>0.30000000000000004</v>
      </c>
      <c r="T15" t="str">
        <f t="shared" si="5"/>
        <v>/0</v>
      </c>
      <c r="U15">
        <f>SUM(C15:F15)+Программа!$H$26*COUNTIF(C35:Z35, "+")+R15</f>
        <v>0.30000000000000004</v>
      </c>
      <c r="V15" t="str">
        <f t="shared" si="6"/>
        <v>/0</v>
      </c>
      <c r="Y15" s="28">
        <f t="shared" si="1"/>
        <v>0</v>
      </c>
      <c r="Z15" t="s">
        <v>24</v>
      </c>
      <c r="AA15">
        <f t="shared" si="2"/>
        <v>0.30000000000000004</v>
      </c>
      <c r="AB15" s="17" t="s">
        <v>46</v>
      </c>
      <c r="AC15">
        <f t="shared" si="7"/>
        <v>-50</v>
      </c>
      <c r="AE15">
        <f>SUM(G15:J15)+COUNTIF(AA35:AU35, "+")*Программа!$H$26+AA15</f>
        <v>0.30000000000000004</v>
      </c>
      <c r="AF15" t="str">
        <f t="shared" si="3"/>
        <v>/-50</v>
      </c>
      <c r="AG15" s="28">
        <f t="shared" si="4"/>
        <v>1</v>
      </c>
      <c r="AH15" t="s">
        <v>24</v>
      </c>
    </row>
    <row r="16" spans="1:35" x14ac:dyDescent="0.45">
      <c r="A16" s="1">
        <v>13</v>
      </c>
      <c r="B16" t="s">
        <v>75</v>
      </c>
      <c r="C16" s="25"/>
      <c r="D16" s="25"/>
      <c r="E16" s="25"/>
      <c r="F16" s="25"/>
      <c r="G16" s="26"/>
      <c r="H16" s="26"/>
      <c r="I16" s="26"/>
      <c r="J16" s="27"/>
      <c r="M16" t="s">
        <v>52</v>
      </c>
      <c r="S16">
        <f t="shared" si="0"/>
        <v>0.30000000000000004</v>
      </c>
      <c r="T16" t="str">
        <f t="shared" si="5"/>
        <v>/0</v>
      </c>
      <c r="U16">
        <f>SUM(C16:F16)+Программа!$H$26*COUNTIF(C36:Z36, "+")+R16</f>
        <v>0.30000000000000004</v>
      </c>
      <c r="V16" t="str">
        <f t="shared" si="6"/>
        <v>/0</v>
      </c>
      <c r="Y16" s="28">
        <f t="shared" si="1"/>
        <v>0</v>
      </c>
      <c r="Z16" t="s">
        <v>24</v>
      </c>
      <c r="AA16">
        <f t="shared" si="2"/>
        <v>0.30000000000000004</v>
      </c>
      <c r="AB16" s="17" t="s">
        <v>46</v>
      </c>
      <c r="AC16">
        <f t="shared" si="7"/>
        <v>-50</v>
      </c>
      <c r="AE16">
        <f>SUM(G16:J16)+COUNTIF(AA36:AU36, "+")*Программа!$H$26+AA16</f>
        <v>0.30000000000000004</v>
      </c>
      <c r="AF16" t="str">
        <f t="shared" si="3"/>
        <v>/-50</v>
      </c>
      <c r="AG16" s="28">
        <f t="shared" si="4"/>
        <v>1</v>
      </c>
      <c r="AH16" t="s">
        <v>24</v>
      </c>
    </row>
    <row r="17" spans="1:55" x14ac:dyDescent="0.45">
      <c r="A17" s="1">
        <v>14</v>
      </c>
      <c r="B17" t="s">
        <v>76</v>
      </c>
      <c r="C17" s="25"/>
      <c r="D17" s="25"/>
      <c r="E17" s="25"/>
      <c r="F17" s="25"/>
      <c r="G17" s="26"/>
      <c r="H17" s="26"/>
      <c r="I17" s="26"/>
      <c r="J17" s="27"/>
      <c r="S17">
        <f t="shared" si="0"/>
        <v>0.30000000000000004</v>
      </c>
      <c r="T17" t="str">
        <f t="shared" si="5"/>
        <v>/0</v>
      </c>
      <c r="U17">
        <f>SUM(C17:F17)+Программа!$H$26*COUNTIF(C37:Z37, "+")+R17</f>
        <v>0.30000000000000004</v>
      </c>
      <c r="V17" t="str">
        <f t="shared" si="6"/>
        <v>/0</v>
      </c>
      <c r="W17">
        <f t="shared" ref="W17" si="8">U17</f>
        <v>0.30000000000000004</v>
      </c>
      <c r="Y17">
        <f t="shared" si="1"/>
        <v>1</v>
      </c>
      <c r="Z17" t="s">
        <v>24</v>
      </c>
      <c r="AA17">
        <f t="shared" si="2"/>
        <v>0</v>
      </c>
      <c r="AB17" s="17" t="s">
        <v>46</v>
      </c>
      <c r="AC17">
        <f t="shared" si="7"/>
        <v>-50</v>
      </c>
      <c r="AE17">
        <f>SUM(G17:J17)+COUNTIF(AA37:AU37, "+")*Программа!$H$26+AA17</f>
        <v>0</v>
      </c>
      <c r="AF17" t="str">
        <f t="shared" si="3"/>
        <v>/-50</v>
      </c>
      <c r="AG17" s="28">
        <f t="shared" si="4"/>
        <v>0</v>
      </c>
      <c r="AH17" t="s">
        <v>50</v>
      </c>
    </row>
    <row r="19" spans="1:55" x14ac:dyDescent="0.45">
      <c r="B19" t="s">
        <v>20</v>
      </c>
    </row>
    <row r="21" spans="1:55" x14ac:dyDescent="0.45">
      <c r="B21" t="s">
        <v>0</v>
      </c>
      <c r="C21" s="38">
        <v>1</v>
      </c>
      <c r="D21" s="38"/>
      <c r="E21" s="38"/>
      <c r="F21" s="38">
        <v>2</v>
      </c>
      <c r="G21" s="38"/>
      <c r="H21" s="38"/>
      <c r="I21" s="38">
        <v>3</v>
      </c>
      <c r="J21" s="38"/>
      <c r="K21" s="38"/>
      <c r="L21" s="38">
        <v>4</v>
      </c>
      <c r="M21" s="38"/>
      <c r="N21" s="38"/>
      <c r="O21" s="38">
        <v>5</v>
      </c>
      <c r="P21" s="38"/>
      <c r="Q21" s="38"/>
      <c r="R21" s="38">
        <v>6</v>
      </c>
      <c r="S21" s="38"/>
      <c r="T21" s="38"/>
      <c r="U21" s="38">
        <v>7</v>
      </c>
      <c r="V21" s="38"/>
      <c r="W21" s="38"/>
      <c r="X21" s="38">
        <v>8</v>
      </c>
      <c r="Y21" s="38"/>
      <c r="Z21" s="38"/>
      <c r="AA21" s="38">
        <v>9</v>
      </c>
      <c r="AB21" s="38"/>
      <c r="AC21" s="38"/>
      <c r="AD21" s="38">
        <v>10</v>
      </c>
      <c r="AE21" s="38"/>
      <c r="AF21" s="38"/>
      <c r="AG21" s="38">
        <v>11</v>
      </c>
      <c r="AH21" s="38"/>
      <c r="AI21" s="38"/>
      <c r="AJ21" s="38">
        <v>12</v>
      </c>
      <c r="AK21" s="38"/>
      <c r="AL21" s="38"/>
      <c r="AM21" s="38">
        <v>13</v>
      </c>
      <c r="AN21" s="38"/>
      <c r="AO21" s="38"/>
      <c r="AP21" s="38">
        <v>14</v>
      </c>
      <c r="AQ21" s="38"/>
      <c r="AR21" s="38"/>
      <c r="AS21" s="38">
        <v>15</v>
      </c>
      <c r="AT21" s="38"/>
      <c r="AU21" s="38"/>
      <c r="AV21" s="38" t="s">
        <v>26</v>
      </c>
      <c r="AW21" s="38"/>
      <c r="AX21" s="38"/>
      <c r="AY21" s="38" t="s">
        <v>29</v>
      </c>
      <c r="AZ21" s="38"/>
      <c r="BA21" s="38"/>
      <c r="BB21" s="38" t="s">
        <v>30</v>
      </c>
      <c r="BC21" s="38"/>
    </row>
    <row r="22" spans="1:55" ht="14.65" thickBot="1" x14ac:dyDescent="0.5">
      <c r="B22" t="s">
        <v>19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37"/>
      <c r="S22" s="37"/>
      <c r="T22" s="37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55" x14ac:dyDescent="0.45">
      <c r="A23" s="8" t="s">
        <v>5</v>
      </c>
      <c r="B23" s="9" t="s">
        <v>6</v>
      </c>
      <c r="C23" s="9" t="s">
        <v>48</v>
      </c>
      <c r="D23" s="9" t="s">
        <v>49</v>
      </c>
      <c r="E23" s="9" t="s">
        <v>18</v>
      </c>
      <c r="F23" s="9" t="s">
        <v>48</v>
      </c>
      <c r="G23" s="9" t="s">
        <v>49</v>
      </c>
      <c r="H23" s="9" t="s">
        <v>18</v>
      </c>
      <c r="I23" s="9" t="s">
        <v>48</v>
      </c>
      <c r="J23" s="9" t="s">
        <v>49</v>
      </c>
      <c r="K23" s="9" t="s">
        <v>18</v>
      </c>
      <c r="L23" s="9" t="s">
        <v>48</v>
      </c>
      <c r="M23" s="9" t="s">
        <v>49</v>
      </c>
      <c r="N23" s="9" t="s">
        <v>18</v>
      </c>
      <c r="O23" s="9" t="s">
        <v>48</v>
      </c>
      <c r="P23" s="9" t="s">
        <v>49</v>
      </c>
      <c r="Q23" s="9" t="s">
        <v>18</v>
      </c>
      <c r="R23" s="9" t="s">
        <v>48</v>
      </c>
      <c r="S23" s="9" t="s">
        <v>49</v>
      </c>
      <c r="T23" s="9" t="s">
        <v>18</v>
      </c>
      <c r="U23" s="9" t="s">
        <v>48</v>
      </c>
      <c r="V23" s="9" t="s">
        <v>49</v>
      </c>
      <c r="W23" s="9" t="s">
        <v>18</v>
      </c>
      <c r="X23" s="9" t="s">
        <v>48</v>
      </c>
      <c r="Y23" s="9" t="s">
        <v>49</v>
      </c>
      <c r="Z23" s="9" t="s">
        <v>18</v>
      </c>
      <c r="AA23" s="9" t="s">
        <v>48</v>
      </c>
      <c r="AB23" s="9" t="s">
        <v>49</v>
      </c>
      <c r="AC23" s="9" t="s">
        <v>18</v>
      </c>
      <c r="AD23" s="9" t="s">
        <v>48</v>
      </c>
      <c r="AE23" s="9" t="s">
        <v>49</v>
      </c>
      <c r="AF23" s="9" t="s">
        <v>18</v>
      </c>
      <c r="AG23" s="9" t="s">
        <v>48</v>
      </c>
      <c r="AH23" s="9" t="s">
        <v>49</v>
      </c>
      <c r="AI23" s="9" t="s">
        <v>18</v>
      </c>
      <c r="AJ23" s="9" t="s">
        <v>48</v>
      </c>
      <c r="AK23" s="9" t="s">
        <v>49</v>
      </c>
      <c r="AL23" s="9" t="s">
        <v>18</v>
      </c>
      <c r="AM23" s="9" t="s">
        <v>48</v>
      </c>
      <c r="AN23" s="9" t="s">
        <v>49</v>
      </c>
      <c r="AO23" s="9" t="s">
        <v>18</v>
      </c>
      <c r="AP23" s="9" t="s">
        <v>48</v>
      </c>
      <c r="AQ23" s="9" t="s">
        <v>49</v>
      </c>
      <c r="AR23" s="9" t="s">
        <v>18</v>
      </c>
      <c r="AS23" s="9" t="s">
        <v>48</v>
      </c>
      <c r="AT23" s="9" t="s">
        <v>49</v>
      </c>
      <c r="AU23" s="19" t="s">
        <v>18</v>
      </c>
      <c r="AV23" s="1" t="s">
        <v>27</v>
      </c>
      <c r="AW23" s="1" t="s">
        <v>18</v>
      </c>
      <c r="AX23" s="1" t="s">
        <v>28</v>
      </c>
      <c r="AY23" s="1" t="s">
        <v>27</v>
      </c>
      <c r="AZ23" s="1" t="s">
        <v>18</v>
      </c>
      <c r="BA23" s="1" t="s">
        <v>28</v>
      </c>
      <c r="BB23" s="1" t="s">
        <v>32</v>
      </c>
      <c r="BC23" s="21" t="s">
        <v>31</v>
      </c>
    </row>
    <row r="24" spans="1:55" x14ac:dyDescent="0.45">
      <c r="A24" s="10">
        <v>1</v>
      </c>
      <c r="B24" s="1" t="str">
        <f>B4</f>
        <v>Абилов Шамиль Мерхатович</v>
      </c>
      <c r="C24" s="13" t="s">
        <v>77</v>
      </c>
      <c r="D24" s="13" t="s">
        <v>77</v>
      </c>
      <c r="E24" s="13" t="s">
        <v>77</v>
      </c>
      <c r="F24" s="13" t="s">
        <v>47</v>
      </c>
      <c r="G24" s="13" t="s">
        <v>47</v>
      </c>
      <c r="H24" s="13" t="s">
        <v>47</v>
      </c>
      <c r="I24" s="13" t="s">
        <v>47</v>
      </c>
      <c r="J24" s="13" t="s">
        <v>47</v>
      </c>
      <c r="K24" s="13" t="s">
        <v>47</v>
      </c>
      <c r="L24" s="13" t="s">
        <v>47</v>
      </c>
      <c r="M24" s="13" t="s">
        <v>47</v>
      </c>
      <c r="N24" s="13" t="s">
        <v>47</v>
      </c>
      <c r="O24" s="13" t="s">
        <v>47</v>
      </c>
      <c r="P24" s="13" t="s">
        <v>47</v>
      </c>
      <c r="Q24" s="13" t="s">
        <v>47</v>
      </c>
      <c r="R24" s="13" t="s">
        <v>47</v>
      </c>
      <c r="S24" s="13" t="s">
        <v>47</v>
      </c>
      <c r="T24" s="13" t="s">
        <v>47</v>
      </c>
      <c r="U24" s="13" t="s">
        <v>47</v>
      </c>
      <c r="V24" s="13" t="s">
        <v>47</v>
      </c>
      <c r="W24" s="13" t="s">
        <v>47</v>
      </c>
      <c r="X24" s="13" t="s">
        <v>47</v>
      </c>
      <c r="Y24" s="13" t="s">
        <v>47</v>
      </c>
      <c r="Z24" s="13" t="s">
        <v>47</v>
      </c>
      <c r="AA24" s="13" t="s">
        <v>47</v>
      </c>
      <c r="AB24" s="13" t="s">
        <v>47</v>
      </c>
      <c r="AC24" s="13" t="s">
        <v>47</v>
      </c>
      <c r="AD24" s="13" t="s">
        <v>47</v>
      </c>
      <c r="AE24" s="13" t="s">
        <v>47</v>
      </c>
      <c r="AF24" s="13" t="s">
        <v>47</v>
      </c>
      <c r="AG24" s="13" t="s">
        <v>47</v>
      </c>
      <c r="AH24" s="13" t="s">
        <v>47</v>
      </c>
      <c r="AI24" s="13" t="s">
        <v>47</v>
      </c>
      <c r="AJ24" s="13" t="s">
        <v>47</v>
      </c>
      <c r="AK24" s="13" t="s">
        <v>47</v>
      </c>
      <c r="AL24" s="13" t="s">
        <v>47</v>
      </c>
      <c r="AM24" s="13" t="s">
        <v>47</v>
      </c>
      <c r="AN24" s="13" t="s">
        <v>47</v>
      </c>
      <c r="AO24" s="13" t="s">
        <v>47</v>
      </c>
      <c r="AP24" s="13" t="s">
        <v>47</v>
      </c>
      <c r="AQ24" s="13" t="s">
        <v>47</v>
      </c>
      <c r="AR24" s="13" t="s">
        <v>47</v>
      </c>
      <c r="AS24" s="13" t="s">
        <v>47</v>
      </c>
      <c r="AT24" s="13" t="s">
        <v>47</v>
      </c>
      <c r="AU24" s="13" t="s">
        <v>47</v>
      </c>
      <c r="AV24" s="1">
        <f>COUNTIF(C24:Z24, "")</f>
        <v>0</v>
      </c>
      <c r="AW24" s="1">
        <f>COUNTIF(E24, "")+COUNTIF(H24, "")+COUNTIF(K24, "")+COUNTIF(N24, "")+COUNTIF(Q24, "")+COUNTIF(T24, "")+COUNTIF(W24, "")+COUNTIF(Z24, "")</f>
        <v>0</v>
      </c>
      <c r="AX24" s="1">
        <f>COUNTIF(C24:D24, "")+COUNTIF(F24:G24, "")+COUNTIF(I24:J24, "")+COUNTIF(L24:M24, "")+COUNTIF(O24:P24, "")+COUNTIF(R24:S24, "")+COUNTIF(U24:V24, "")+COUNTIF(X24:Y24, "")</f>
        <v>0</v>
      </c>
      <c r="AY24" s="1">
        <f>COUNTIF(AA24:AU24, "")</f>
        <v>0</v>
      </c>
      <c r="AZ24" s="21">
        <f>COUNTIF(AC24, "")+COUNTIF(AF24, "")+COUNTIF(AI24, "")+COUNTIF(AL24, "")+COUNTIF(AO24, "")+COUNTIF(AR24, "")+COUNTIF(AU24, "")</f>
        <v>0</v>
      </c>
      <c r="BA24" s="21">
        <f>COUNTIF(AA24:AB24, "")+COUNTIF(AD24:AE24, "")+COUNTIF(AG24:AH24, "")+COUNTIF(AJ24:AK24, "")+COUNTIF(AM24:AN24, "")+COUNTIF(AP24:AQ24, "")+COUNTIF(AS24:AT24, "")</f>
        <v>0</v>
      </c>
      <c r="BB24" s="1">
        <f>AV24+AY24</f>
        <v>0</v>
      </c>
      <c r="BC24" s="22">
        <f>BB24/45*100</f>
        <v>0</v>
      </c>
    </row>
    <row r="25" spans="1:55" x14ac:dyDescent="0.45">
      <c r="A25" s="10">
        <v>2</v>
      </c>
      <c r="B25" s="1" t="str">
        <f t="shared" ref="B25:B37" si="9">B5</f>
        <v>Амирханов Алмас Досымулы</v>
      </c>
      <c r="C25" s="13" t="s">
        <v>77</v>
      </c>
      <c r="D25" s="13" t="s">
        <v>77</v>
      </c>
      <c r="E25" s="13" t="s">
        <v>77</v>
      </c>
      <c r="F25" s="13" t="s">
        <v>47</v>
      </c>
      <c r="G25" s="13" t="s">
        <v>47</v>
      </c>
      <c r="H25" s="13" t="s">
        <v>47</v>
      </c>
      <c r="I25" s="13" t="s">
        <v>47</v>
      </c>
      <c r="J25" s="13" t="s">
        <v>47</v>
      </c>
      <c r="K25" s="13" t="s">
        <v>47</v>
      </c>
      <c r="L25" s="13" t="s">
        <v>47</v>
      </c>
      <c r="M25" s="13" t="s">
        <v>47</v>
      </c>
      <c r="N25" s="13" t="s">
        <v>47</v>
      </c>
      <c r="O25" s="13" t="s">
        <v>47</v>
      </c>
      <c r="P25" s="13" t="s">
        <v>47</v>
      </c>
      <c r="Q25" s="13" t="s">
        <v>47</v>
      </c>
      <c r="R25" s="13" t="s">
        <v>47</v>
      </c>
      <c r="S25" s="13" t="s">
        <v>47</v>
      </c>
      <c r="T25" s="13" t="s">
        <v>47</v>
      </c>
      <c r="U25" s="13" t="s">
        <v>47</v>
      </c>
      <c r="V25" s="13" t="s">
        <v>47</v>
      </c>
      <c r="W25" s="13" t="s">
        <v>47</v>
      </c>
      <c r="X25" s="13" t="s">
        <v>47</v>
      </c>
      <c r="Y25" s="13" t="s">
        <v>47</v>
      </c>
      <c r="Z25" s="13" t="s">
        <v>47</v>
      </c>
      <c r="AA25" s="13" t="s">
        <v>47</v>
      </c>
      <c r="AB25" s="13" t="s">
        <v>47</v>
      </c>
      <c r="AC25" s="13" t="s">
        <v>47</v>
      </c>
      <c r="AD25" s="13" t="s">
        <v>47</v>
      </c>
      <c r="AE25" s="13" t="s">
        <v>47</v>
      </c>
      <c r="AF25" s="13" t="s">
        <v>47</v>
      </c>
      <c r="AG25" s="13" t="s">
        <v>47</v>
      </c>
      <c r="AH25" s="13" t="s">
        <v>47</v>
      </c>
      <c r="AI25" s="13" t="s">
        <v>47</v>
      </c>
      <c r="AJ25" s="13" t="s">
        <v>47</v>
      </c>
      <c r="AK25" s="13" t="s">
        <v>47</v>
      </c>
      <c r="AL25" s="13" t="s">
        <v>47</v>
      </c>
      <c r="AM25" s="13" t="s">
        <v>47</v>
      </c>
      <c r="AN25" s="13" t="s">
        <v>47</v>
      </c>
      <c r="AO25" s="13" t="s">
        <v>47</v>
      </c>
      <c r="AP25" s="13" t="s">
        <v>47</v>
      </c>
      <c r="AQ25" s="13" t="s">
        <v>47</v>
      </c>
      <c r="AR25" s="13" t="s">
        <v>47</v>
      </c>
      <c r="AS25" s="13" t="s">
        <v>47</v>
      </c>
      <c r="AT25" s="13" t="s">
        <v>47</v>
      </c>
      <c r="AU25" s="13" t="s">
        <v>47</v>
      </c>
      <c r="AV25" s="1">
        <f t="shared" ref="AV25:AV37" si="10">COUNTIF(C25:Z25, "")</f>
        <v>0</v>
      </c>
      <c r="AW25" s="1">
        <f t="shared" ref="AW25:AW37" si="11">COUNTIF(E25, "")+COUNTIF(H25, "")+COUNTIF(K25, "")+COUNTIF(N25, "")+COUNTIF(Q25, "")+COUNTIF(T25, "")+COUNTIF(W25, "")+COUNTIF(Z25, "")</f>
        <v>0</v>
      </c>
      <c r="AX25" s="1">
        <f t="shared" ref="AX25:AX37" si="12">COUNTIF(C25:D25, "")+COUNTIF(F25:G25, "")+COUNTIF(I25:J25, "")+COUNTIF(L25:M25, "")+COUNTIF(O25:P25, "")+COUNTIF(R25:S25, "")+COUNTIF(U25:V25, "")+COUNTIF(X25:Y25, "")</f>
        <v>0</v>
      </c>
      <c r="AY25" s="1">
        <f t="shared" ref="AY25:AY37" si="13">COUNTIF(AA25:AU25, "")</f>
        <v>0</v>
      </c>
      <c r="AZ25" s="21">
        <f t="shared" ref="AZ25:AZ37" si="14">COUNTIF(AC25, "")+COUNTIF(AF25, "")+COUNTIF(AI25, "")+COUNTIF(AL25, "")+COUNTIF(AO25, "")+COUNTIF(AR25, "")+COUNTIF(AU25, "")</f>
        <v>0</v>
      </c>
      <c r="BA25" s="21">
        <f>COUNTIF(AA25:AB25, "")+COUNTIF(AD25:AE25, "")+COUNTIF(AG25:AH25, "")+COUNTIF(AJ25:AK25, "")+COUNTIF(AM25:AN25, "")+COUNTIF(AP25:AQ25, "")+COUNTIF(AS25:AT25, "")</f>
        <v>0</v>
      </c>
      <c r="BB25" s="1">
        <f t="shared" ref="BB25:BB37" si="15">AV25+AY25</f>
        <v>0</v>
      </c>
      <c r="BC25" s="22">
        <f t="shared" ref="BC25:BC37" si="16">BB25/45*100</f>
        <v>0</v>
      </c>
    </row>
    <row r="26" spans="1:55" x14ac:dyDescent="0.45">
      <c r="A26" s="10">
        <v>3</v>
      </c>
      <c r="B26" s="1" t="str">
        <f t="shared" si="9"/>
        <v>Ахметов Ариман Айдынович</v>
      </c>
      <c r="C26" s="13"/>
      <c r="D26" s="13"/>
      <c r="E26" s="13"/>
      <c r="F26" s="13" t="s">
        <v>47</v>
      </c>
      <c r="G26" s="13" t="s">
        <v>47</v>
      </c>
      <c r="H26" s="13" t="s">
        <v>47</v>
      </c>
      <c r="I26" s="13" t="s">
        <v>47</v>
      </c>
      <c r="J26" s="13" t="s">
        <v>47</v>
      </c>
      <c r="K26" s="13" t="s">
        <v>47</v>
      </c>
      <c r="L26" s="13" t="s">
        <v>47</v>
      </c>
      <c r="M26" s="13" t="s">
        <v>47</v>
      </c>
      <c r="N26" s="13" t="s">
        <v>47</v>
      </c>
      <c r="O26" s="13" t="s">
        <v>47</v>
      </c>
      <c r="P26" s="13" t="s">
        <v>47</v>
      </c>
      <c r="Q26" s="13" t="s">
        <v>47</v>
      </c>
      <c r="R26" s="13" t="s">
        <v>47</v>
      </c>
      <c r="S26" s="13" t="s">
        <v>47</v>
      </c>
      <c r="T26" s="13" t="s">
        <v>47</v>
      </c>
      <c r="U26" s="13" t="s">
        <v>47</v>
      </c>
      <c r="V26" s="13" t="s">
        <v>47</v>
      </c>
      <c r="W26" s="13" t="s">
        <v>47</v>
      </c>
      <c r="X26" s="13" t="s">
        <v>47</v>
      </c>
      <c r="Y26" s="13" t="s">
        <v>47</v>
      </c>
      <c r="Z26" s="13" t="s">
        <v>47</v>
      </c>
      <c r="AA26" s="13" t="s">
        <v>47</v>
      </c>
      <c r="AB26" s="13" t="s">
        <v>47</v>
      </c>
      <c r="AC26" s="13" t="s">
        <v>47</v>
      </c>
      <c r="AD26" s="13" t="s">
        <v>47</v>
      </c>
      <c r="AE26" s="13" t="s">
        <v>47</v>
      </c>
      <c r="AF26" s="13" t="s">
        <v>47</v>
      </c>
      <c r="AG26" s="13" t="s">
        <v>47</v>
      </c>
      <c r="AH26" s="13" t="s">
        <v>47</v>
      </c>
      <c r="AI26" s="13" t="s">
        <v>47</v>
      </c>
      <c r="AJ26" s="13" t="s">
        <v>47</v>
      </c>
      <c r="AK26" s="13" t="s">
        <v>47</v>
      </c>
      <c r="AL26" s="13" t="s">
        <v>47</v>
      </c>
      <c r="AM26" s="13" t="s">
        <v>47</v>
      </c>
      <c r="AN26" s="13" t="s">
        <v>47</v>
      </c>
      <c r="AO26" s="13" t="s">
        <v>47</v>
      </c>
      <c r="AP26" s="13" t="s">
        <v>47</v>
      </c>
      <c r="AQ26" s="13" t="s">
        <v>47</v>
      </c>
      <c r="AR26" s="13" t="s">
        <v>47</v>
      </c>
      <c r="AS26" s="13" t="s">
        <v>47</v>
      </c>
      <c r="AT26" s="13" t="s">
        <v>47</v>
      </c>
      <c r="AU26" s="13" t="s">
        <v>47</v>
      </c>
      <c r="AV26" s="1">
        <f t="shared" si="10"/>
        <v>3</v>
      </c>
      <c r="AW26" s="1">
        <f t="shared" si="11"/>
        <v>1</v>
      </c>
      <c r="AX26" s="1">
        <f t="shared" si="12"/>
        <v>2</v>
      </c>
      <c r="AY26" s="1">
        <f t="shared" si="13"/>
        <v>0</v>
      </c>
      <c r="AZ26" s="21">
        <f t="shared" si="14"/>
        <v>0</v>
      </c>
      <c r="BA26" s="21">
        <f t="shared" ref="BA26:BA37" si="17">COUNTIF(AA26:AB26, "")+COUNTIF(AD26:AE26, "")+COUNTIF(AG26:AH26, "")+COUNTIF(AJ26:AK26, "")+COUNTIF(AM26:AN26, "")+COUNTIF(AP26:AQ26, "")+COUNTIF(AS26:AT26, "")</f>
        <v>0</v>
      </c>
      <c r="BB26" s="1">
        <f t="shared" si="15"/>
        <v>3</v>
      </c>
      <c r="BC26" s="22">
        <f t="shared" si="16"/>
        <v>6.666666666666667</v>
      </c>
    </row>
    <row r="27" spans="1:55" x14ac:dyDescent="0.45">
      <c r="A27" s="10">
        <v>4</v>
      </c>
      <c r="B27" s="1" t="str">
        <f t="shared" si="9"/>
        <v>Байноллаев Шәріпхан Алмасұлы</v>
      </c>
      <c r="C27" s="13" t="s">
        <v>77</v>
      </c>
      <c r="D27" s="13" t="s">
        <v>77</v>
      </c>
      <c r="E27" s="13" t="s">
        <v>77</v>
      </c>
      <c r="F27" s="13" t="s">
        <v>47</v>
      </c>
      <c r="G27" s="13" t="s">
        <v>47</v>
      </c>
      <c r="H27" s="13" t="s">
        <v>47</v>
      </c>
      <c r="I27" s="13" t="s">
        <v>47</v>
      </c>
      <c r="J27" s="13" t="s">
        <v>47</v>
      </c>
      <c r="K27" s="13" t="s">
        <v>47</v>
      </c>
      <c r="L27" s="13" t="s">
        <v>47</v>
      </c>
      <c r="M27" s="13" t="s">
        <v>47</v>
      </c>
      <c r="N27" s="13" t="s">
        <v>47</v>
      </c>
      <c r="O27" s="13" t="s">
        <v>47</v>
      </c>
      <c r="P27" s="13" t="s">
        <v>47</v>
      </c>
      <c r="Q27" s="13" t="s">
        <v>47</v>
      </c>
      <c r="R27" s="13" t="s">
        <v>47</v>
      </c>
      <c r="S27" s="13" t="s">
        <v>47</v>
      </c>
      <c r="T27" s="13" t="s">
        <v>47</v>
      </c>
      <c r="U27" s="13" t="s">
        <v>47</v>
      </c>
      <c r="V27" s="13" t="s">
        <v>47</v>
      </c>
      <c r="W27" s="13" t="s">
        <v>47</v>
      </c>
      <c r="X27" s="13" t="s">
        <v>47</v>
      </c>
      <c r="Y27" s="13" t="s">
        <v>47</v>
      </c>
      <c r="Z27" s="13" t="s">
        <v>47</v>
      </c>
      <c r="AA27" s="13" t="s">
        <v>47</v>
      </c>
      <c r="AB27" s="13" t="s">
        <v>47</v>
      </c>
      <c r="AC27" s="13" t="s">
        <v>47</v>
      </c>
      <c r="AD27" s="13" t="s">
        <v>47</v>
      </c>
      <c r="AE27" s="13" t="s">
        <v>47</v>
      </c>
      <c r="AF27" s="13" t="s">
        <v>47</v>
      </c>
      <c r="AG27" s="13" t="s">
        <v>47</v>
      </c>
      <c r="AH27" s="13" t="s">
        <v>47</v>
      </c>
      <c r="AI27" s="13" t="s">
        <v>47</v>
      </c>
      <c r="AJ27" s="13" t="s">
        <v>47</v>
      </c>
      <c r="AK27" s="13" t="s">
        <v>47</v>
      </c>
      <c r="AL27" s="13" t="s">
        <v>47</v>
      </c>
      <c r="AM27" s="13" t="s">
        <v>47</v>
      </c>
      <c r="AN27" s="13" t="s">
        <v>47</v>
      </c>
      <c r="AO27" s="13" t="s">
        <v>47</v>
      </c>
      <c r="AP27" s="13" t="s">
        <v>47</v>
      </c>
      <c r="AQ27" s="13" t="s">
        <v>47</v>
      </c>
      <c r="AR27" s="13" t="s">
        <v>47</v>
      </c>
      <c r="AS27" s="13" t="s">
        <v>47</v>
      </c>
      <c r="AT27" s="13" t="s">
        <v>47</v>
      </c>
      <c r="AU27" s="13" t="s">
        <v>47</v>
      </c>
      <c r="AV27" s="1">
        <f t="shared" si="10"/>
        <v>0</v>
      </c>
      <c r="AW27" s="1">
        <f t="shared" si="11"/>
        <v>0</v>
      </c>
      <c r="AX27" s="1">
        <f t="shared" si="12"/>
        <v>0</v>
      </c>
      <c r="AY27" s="1">
        <f t="shared" si="13"/>
        <v>0</v>
      </c>
      <c r="AZ27" s="21">
        <f t="shared" si="14"/>
        <v>0</v>
      </c>
      <c r="BA27" s="21">
        <f t="shared" si="17"/>
        <v>0</v>
      </c>
      <c r="BB27" s="1">
        <f t="shared" si="15"/>
        <v>0</v>
      </c>
      <c r="BC27" s="22">
        <f t="shared" si="16"/>
        <v>0</v>
      </c>
    </row>
    <row r="28" spans="1:55" x14ac:dyDescent="0.45">
      <c r="A28" s="10">
        <v>5</v>
      </c>
      <c r="B28" s="1" t="str">
        <f t="shared" si="9"/>
        <v>Бақыт Әли Бақытұлы</v>
      </c>
      <c r="C28" s="13"/>
      <c r="D28" s="13"/>
      <c r="E28" s="13"/>
      <c r="F28" s="13" t="s">
        <v>47</v>
      </c>
      <c r="G28" s="13" t="s">
        <v>47</v>
      </c>
      <c r="H28" s="13" t="s">
        <v>47</v>
      </c>
      <c r="I28" s="13" t="s">
        <v>47</v>
      </c>
      <c r="J28" s="13" t="s">
        <v>47</v>
      </c>
      <c r="K28" s="13" t="s">
        <v>47</v>
      </c>
      <c r="L28" s="13" t="s">
        <v>47</v>
      </c>
      <c r="M28" s="13" t="s">
        <v>47</v>
      </c>
      <c r="N28" s="13" t="s">
        <v>47</v>
      </c>
      <c r="O28" s="13" t="s">
        <v>47</v>
      </c>
      <c r="P28" s="13" t="s">
        <v>47</v>
      </c>
      <c r="Q28" s="13" t="s">
        <v>47</v>
      </c>
      <c r="R28" s="13" t="s">
        <v>47</v>
      </c>
      <c r="S28" s="13" t="s">
        <v>47</v>
      </c>
      <c r="T28" s="13" t="s">
        <v>47</v>
      </c>
      <c r="U28" s="13" t="s">
        <v>47</v>
      </c>
      <c r="V28" s="13" t="s">
        <v>47</v>
      </c>
      <c r="W28" s="13" t="s">
        <v>47</v>
      </c>
      <c r="X28" s="13" t="s">
        <v>47</v>
      </c>
      <c r="Y28" s="13" t="s">
        <v>47</v>
      </c>
      <c r="Z28" s="13" t="s">
        <v>47</v>
      </c>
      <c r="AA28" s="13" t="s">
        <v>47</v>
      </c>
      <c r="AB28" s="13" t="s">
        <v>47</v>
      </c>
      <c r="AC28" s="13" t="s">
        <v>47</v>
      </c>
      <c r="AD28" s="13" t="s">
        <v>47</v>
      </c>
      <c r="AE28" s="13" t="s">
        <v>47</v>
      </c>
      <c r="AF28" s="13" t="s">
        <v>47</v>
      </c>
      <c r="AG28" s="13" t="s">
        <v>47</v>
      </c>
      <c r="AH28" s="13" t="s">
        <v>47</v>
      </c>
      <c r="AI28" s="13" t="s">
        <v>47</v>
      </c>
      <c r="AJ28" s="13" t="s">
        <v>47</v>
      </c>
      <c r="AK28" s="13" t="s">
        <v>47</v>
      </c>
      <c r="AL28" s="13" t="s">
        <v>47</v>
      </c>
      <c r="AM28" s="13" t="s">
        <v>47</v>
      </c>
      <c r="AN28" s="13" t="s">
        <v>47</v>
      </c>
      <c r="AO28" s="13" t="s">
        <v>47</v>
      </c>
      <c r="AP28" s="13" t="s">
        <v>47</v>
      </c>
      <c r="AQ28" s="13" t="s">
        <v>47</v>
      </c>
      <c r="AR28" s="13" t="s">
        <v>47</v>
      </c>
      <c r="AS28" s="13" t="s">
        <v>47</v>
      </c>
      <c r="AT28" s="13" t="s">
        <v>47</v>
      </c>
      <c r="AU28" s="13" t="s">
        <v>47</v>
      </c>
      <c r="AV28" s="1">
        <f t="shared" si="10"/>
        <v>3</v>
      </c>
      <c r="AW28" s="1">
        <f t="shared" si="11"/>
        <v>1</v>
      </c>
      <c r="AX28" s="1">
        <f t="shared" si="12"/>
        <v>2</v>
      </c>
      <c r="AY28" s="1">
        <f t="shared" si="13"/>
        <v>0</v>
      </c>
      <c r="AZ28" s="21">
        <f t="shared" si="14"/>
        <v>0</v>
      </c>
      <c r="BA28" s="21">
        <f t="shared" si="17"/>
        <v>0</v>
      </c>
      <c r="BB28" s="1">
        <f t="shared" si="15"/>
        <v>3</v>
      </c>
      <c r="BC28" s="22">
        <f t="shared" si="16"/>
        <v>6.666666666666667</v>
      </c>
    </row>
    <row r="29" spans="1:55" x14ac:dyDescent="0.45">
      <c r="A29" s="10">
        <v>6</v>
      </c>
      <c r="B29" s="1" t="str">
        <f t="shared" si="9"/>
        <v>Болатбеков Мирас Мерейұлы</v>
      </c>
      <c r="C29" s="13"/>
      <c r="D29" s="13"/>
      <c r="E29" s="13"/>
      <c r="F29" s="13" t="s">
        <v>47</v>
      </c>
      <c r="G29" s="13" t="s">
        <v>47</v>
      </c>
      <c r="H29" s="13" t="s">
        <v>47</v>
      </c>
      <c r="I29" s="13" t="s">
        <v>47</v>
      </c>
      <c r="J29" s="13" t="s">
        <v>47</v>
      </c>
      <c r="K29" s="13" t="s">
        <v>47</v>
      </c>
      <c r="L29" s="13" t="s">
        <v>47</v>
      </c>
      <c r="M29" s="13" t="s">
        <v>47</v>
      </c>
      <c r="N29" s="13" t="s">
        <v>47</v>
      </c>
      <c r="O29" s="13" t="s">
        <v>47</v>
      </c>
      <c r="P29" s="13" t="s">
        <v>47</v>
      </c>
      <c r="Q29" s="13" t="s">
        <v>47</v>
      </c>
      <c r="R29" s="13" t="s">
        <v>47</v>
      </c>
      <c r="S29" s="13" t="s">
        <v>47</v>
      </c>
      <c r="T29" s="13" t="s">
        <v>47</v>
      </c>
      <c r="U29" s="13" t="s">
        <v>47</v>
      </c>
      <c r="V29" s="13" t="s">
        <v>47</v>
      </c>
      <c r="W29" s="13" t="s">
        <v>47</v>
      </c>
      <c r="X29" s="13" t="s">
        <v>47</v>
      </c>
      <c r="Y29" s="13" t="s">
        <v>47</v>
      </c>
      <c r="Z29" s="13" t="s">
        <v>47</v>
      </c>
      <c r="AA29" s="13" t="s">
        <v>47</v>
      </c>
      <c r="AB29" s="13" t="s">
        <v>47</v>
      </c>
      <c r="AC29" s="13" t="s">
        <v>47</v>
      </c>
      <c r="AD29" s="13" t="s">
        <v>47</v>
      </c>
      <c r="AE29" s="13" t="s">
        <v>47</v>
      </c>
      <c r="AF29" s="13" t="s">
        <v>47</v>
      </c>
      <c r="AG29" s="13" t="s">
        <v>47</v>
      </c>
      <c r="AH29" s="13" t="s">
        <v>47</v>
      </c>
      <c r="AI29" s="13" t="s">
        <v>47</v>
      </c>
      <c r="AJ29" s="13" t="s">
        <v>47</v>
      </c>
      <c r="AK29" s="13" t="s">
        <v>47</v>
      </c>
      <c r="AL29" s="13" t="s">
        <v>47</v>
      </c>
      <c r="AM29" s="13" t="s">
        <v>47</v>
      </c>
      <c r="AN29" s="13" t="s">
        <v>47</v>
      </c>
      <c r="AO29" s="13" t="s">
        <v>47</v>
      </c>
      <c r="AP29" s="13" t="s">
        <v>47</v>
      </c>
      <c r="AQ29" s="13" t="s">
        <v>47</v>
      </c>
      <c r="AR29" s="13" t="s">
        <v>47</v>
      </c>
      <c r="AS29" s="13" t="s">
        <v>47</v>
      </c>
      <c r="AT29" s="13" t="s">
        <v>47</v>
      </c>
      <c r="AU29" s="13" t="s">
        <v>47</v>
      </c>
      <c r="AV29" s="1">
        <f t="shared" si="10"/>
        <v>3</v>
      </c>
      <c r="AW29" s="1">
        <f t="shared" si="11"/>
        <v>1</v>
      </c>
      <c r="AX29" s="1">
        <f t="shared" si="12"/>
        <v>2</v>
      </c>
      <c r="AY29" s="1">
        <f t="shared" si="13"/>
        <v>0</v>
      </c>
      <c r="AZ29" s="21">
        <f t="shared" si="14"/>
        <v>0</v>
      </c>
      <c r="BA29" s="21">
        <f t="shared" si="17"/>
        <v>0</v>
      </c>
      <c r="BB29" s="1">
        <f t="shared" si="15"/>
        <v>3</v>
      </c>
      <c r="BC29" s="22">
        <f t="shared" si="16"/>
        <v>6.666666666666667</v>
      </c>
    </row>
    <row r="30" spans="1:55" x14ac:dyDescent="0.45">
      <c r="A30" s="10">
        <v>7</v>
      </c>
      <c r="B30" s="1" t="str">
        <f t="shared" si="9"/>
        <v>Білісбек Жеңісбек Өмірбекұлы</v>
      </c>
      <c r="C30" s="13"/>
      <c r="D30" s="13"/>
      <c r="E30" s="13"/>
      <c r="F30" s="13" t="s">
        <v>47</v>
      </c>
      <c r="G30" s="13" t="s">
        <v>47</v>
      </c>
      <c r="H30" s="13" t="s">
        <v>47</v>
      </c>
      <c r="I30" s="13" t="s">
        <v>47</v>
      </c>
      <c r="J30" s="13" t="s">
        <v>47</v>
      </c>
      <c r="K30" s="13" t="s">
        <v>47</v>
      </c>
      <c r="L30" s="13" t="s">
        <v>47</v>
      </c>
      <c r="M30" s="13" t="s">
        <v>47</v>
      </c>
      <c r="N30" s="13" t="s">
        <v>47</v>
      </c>
      <c r="O30" s="13" t="s">
        <v>47</v>
      </c>
      <c r="P30" s="13" t="s">
        <v>47</v>
      </c>
      <c r="Q30" s="13" t="s">
        <v>47</v>
      </c>
      <c r="R30" s="13" t="s">
        <v>47</v>
      </c>
      <c r="S30" s="13" t="s">
        <v>47</v>
      </c>
      <c r="T30" s="13" t="s">
        <v>47</v>
      </c>
      <c r="U30" s="13" t="s">
        <v>47</v>
      </c>
      <c r="V30" s="13" t="s">
        <v>47</v>
      </c>
      <c r="W30" s="13" t="s">
        <v>47</v>
      </c>
      <c r="X30" s="13" t="s">
        <v>47</v>
      </c>
      <c r="Y30" s="13" t="s">
        <v>47</v>
      </c>
      <c r="Z30" s="13" t="s">
        <v>47</v>
      </c>
      <c r="AA30" s="13" t="s">
        <v>47</v>
      </c>
      <c r="AB30" s="13" t="s">
        <v>47</v>
      </c>
      <c r="AC30" s="13" t="s">
        <v>47</v>
      </c>
      <c r="AD30" s="13" t="s">
        <v>47</v>
      </c>
      <c r="AE30" s="13" t="s">
        <v>47</v>
      </c>
      <c r="AF30" s="13" t="s">
        <v>47</v>
      </c>
      <c r="AG30" s="13" t="s">
        <v>47</v>
      </c>
      <c r="AH30" s="13" t="s">
        <v>47</v>
      </c>
      <c r="AI30" s="13" t="s">
        <v>47</v>
      </c>
      <c r="AJ30" s="13" t="s">
        <v>47</v>
      </c>
      <c r="AK30" s="13" t="s">
        <v>47</v>
      </c>
      <c r="AL30" s="13" t="s">
        <v>47</v>
      </c>
      <c r="AM30" s="13" t="s">
        <v>47</v>
      </c>
      <c r="AN30" s="13" t="s">
        <v>47</v>
      </c>
      <c r="AO30" s="13" t="s">
        <v>47</v>
      </c>
      <c r="AP30" s="13" t="s">
        <v>47</v>
      </c>
      <c r="AQ30" s="13" t="s">
        <v>47</v>
      </c>
      <c r="AR30" s="13" t="s">
        <v>47</v>
      </c>
      <c r="AS30" s="13" t="s">
        <v>47</v>
      </c>
      <c r="AT30" s="13" t="s">
        <v>47</v>
      </c>
      <c r="AU30" s="13" t="s">
        <v>47</v>
      </c>
      <c r="AV30" s="1">
        <f t="shared" si="10"/>
        <v>3</v>
      </c>
      <c r="AW30" s="1">
        <f t="shared" si="11"/>
        <v>1</v>
      </c>
      <c r="AX30" s="1">
        <f t="shared" si="12"/>
        <v>2</v>
      </c>
      <c r="AY30" s="1">
        <f t="shared" si="13"/>
        <v>0</v>
      </c>
      <c r="AZ30" s="21">
        <f t="shared" si="14"/>
        <v>0</v>
      </c>
      <c r="BA30" s="21">
        <f t="shared" si="17"/>
        <v>0</v>
      </c>
      <c r="BB30" s="1">
        <f t="shared" si="15"/>
        <v>3</v>
      </c>
      <c r="BC30" s="22">
        <f t="shared" si="16"/>
        <v>6.666666666666667</v>
      </c>
    </row>
    <row r="31" spans="1:55" x14ac:dyDescent="0.45">
      <c r="A31" s="10">
        <v>8</v>
      </c>
      <c r="B31" s="1" t="str">
        <f t="shared" si="9"/>
        <v>Жорабек Даниел Талғатұлы</v>
      </c>
      <c r="C31" s="13"/>
      <c r="D31" s="13"/>
      <c r="E31" s="13"/>
      <c r="F31" s="13" t="s">
        <v>47</v>
      </c>
      <c r="G31" s="13" t="s">
        <v>47</v>
      </c>
      <c r="H31" s="13" t="s">
        <v>47</v>
      </c>
      <c r="I31" s="13" t="s">
        <v>47</v>
      </c>
      <c r="J31" s="13" t="s">
        <v>47</v>
      </c>
      <c r="K31" s="13" t="s">
        <v>47</v>
      </c>
      <c r="L31" s="13" t="s">
        <v>47</v>
      </c>
      <c r="M31" s="13" t="s">
        <v>47</v>
      </c>
      <c r="N31" s="13" t="s">
        <v>47</v>
      </c>
      <c r="O31" s="13" t="s">
        <v>47</v>
      </c>
      <c r="P31" s="13" t="s">
        <v>47</v>
      </c>
      <c r="Q31" s="13" t="s">
        <v>47</v>
      </c>
      <c r="R31" s="13" t="s">
        <v>47</v>
      </c>
      <c r="S31" s="13" t="s">
        <v>47</v>
      </c>
      <c r="T31" s="13" t="s">
        <v>47</v>
      </c>
      <c r="U31" s="13" t="s">
        <v>47</v>
      </c>
      <c r="V31" s="13" t="s">
        <v>47</v>
      </c>
      <c r="W31" s="13" t="s">
        <v>47</v>
      </c>
      <c r="X31" s="13" t="s">
        <v>47</v>
      </c>
      <c r="Y31" s="13" t="s">
        <v>47</v>
      </c>
      <c r="Z31" s="13" t="s">
        <v>47</v>
      </c>
      <c r="AA31" s="13" t="s">
        <v>47</v>
      </c>
      <c r="AB31" s="13" t="s">
        <v>47</v>
      </c>
      <c r="AC31" s="13" t="s">
        <v>47</v>
      </c>
      <c r="AD31" s="13" t="s">
        <v>47</v>
      </c>
      <c r="AE31" s="13" t="s">
        <v>47</v>
      </c>
      <c r="AF31" s="13" t="s">
        <v>47</v>
      </c>
      <c r="AG31" s="13" t="s">
        <v>47</v>
      </c>
      <c r="AH31" s="13" t="s">
        <v>47</v>
      </c>
      <c r="AI31" s="13" t="s">
        <v>47</v>
      </c>
      <c r="AJ31" s="13" t="s">
        <v>47</v>
      </c>
      <c r="AK31" s="13" t="s">
        <v>47</v>
      </c>
      <c r="AL31" s="13" t="s">
        <v>47</v>
      </c>
      <c r="AM31" s="13" t="s">
        <v>47</v>
      </c>
      <c r="AN31" s="13" t="s">
        <v>47</v>
      </c>
      <c r="AO31" s="13" t="s">
        <v>47</v>
      </c>
      <c r="AP31" s="13" t="s">
        <v>47</v>
      </c>
      <c r="AQ31" s="13" t="s">
        <v>47</v>
      </c>
      <c r="AR31" s="13" t="s">
        <v>47</v>
      </c>
      <c r="AS31" s="13" t="s">
        <v>47</v>
      </c>
      <c r="AT31" s="13" t="s">
        <v>47</v>
      </c>
      <c r="AU31" s="13" t="s">
        <v>47</v>
      </c>
      <c r="AV31" s="1">
        <f t="shared" si="10"/>
        <v>3</v>
      </c>
      <c r="AW31" s="1">
        <f t="shared" si="11"/>
        <v>1</v>
      </c>
      <c r="AX31" s="1">
        <f t="shared" si="12"/>
        <v>2</v>
      </c>
      <c r="AY31" s="1">
        <f t="shared" si="13"/>
        <v>0</v>
      </c>
      <c r="AZ31" s="21">
        <f t="shared" si="14"/>
        <v>0</v>
      </c>
      <c r="BA31" s="21">
        <f t="shared" si="17"/>
        <v>0</v>
      </c>
      <c r="BB31" s="1">
        <f t="shared" si="15"/>
        <v>3</v>
      </c>
      <c r="BC31" s="22">
        <f t="shared" si="16"/>
        <v>6.666666666666667</v>
      </c>
    </row>
    <row r="32" spans="1:55" x14ac:dyDescent="0.45">
      <c r="A32" s="10">
        <v>9</v>
      </c>
      <c r="B32" s="1" t="str">
        <f t="shared" si="9"/>
        <v>Кенжеәлі Нұрсат Сансызбайұлы</v>
      </c>
      <c r="C32" s="13"/>
      <c r="D32" s="13"/>
      <c r="E32" s="13"/>
      <c r="F32" s="13" t="s">
        <v>47</v>
      </c>
      <c r="G32" s="13" t="s">
        <v>47</v>
      </c>
      <c r="H32" s="13" t="s">
        <v>47</v>
      </c>
      <c r="I32" s="13" t="s">
        <v>47</v>
      </c>
      <c r="J32" s="13" t="s">
        <v>47</v>
      </c>
      <c r="K32" s="13" t="s">
        <v>47</v>
      </c>
      <c r="L32" s="13" t="s">
        <v>47</v>
      </c>
      <c r="M32" s="13" t="s">
        <v>47</v>
      </c>
      <c r="N32" s="13" t="s">
        <v>47</v>
      </c>
      <c r="O32" s="13" t="s">
        <v>47</v>
      </c>
      <c r="P32" s="13" t="s">
        <v>47</v>
      </c>
      <c r="Q32" s="13" t="s">
        <v>47</v>
      </c>
      <c r="R32" s="13" t="s">
        <v>47</v>
      </c>
      <c r="S32" s="13" t="s">
        <v>47</v>
      </c>
      <c r="T32" s="13" t="s">
        <v>47</v>
      </c>
      <c r="U32" s="13" t="s">
        <v>47</v>
      </c>
      <c r="V32" s="13" t="s">
        <v>47</v>
      </c>
      <c r="W32" s="13" t="s">
        <v>47</v>
      </c>
      <c r="X32" s="13" t="s">
        <v>47</v>
      </c>
      <c r="Y32" s="13" t="s">
        <v>47</v>
      </c>
      <c r="Z32" s="13" t="s">
        <v>47</v>
      </c>
      <c r="AA32" s="13" t="s">
        <v>47</v>
      </c>
      <c r="AB32" s="13" t="s">
        <v>47</v>
      </c>
      <c r="AC32" s="13" t="s">
        <v>47</v>
      </c>
      <c r="AD32" s="13" t="s">
        <v>47</v>
      </c>
      <c r="AE32" s="13" t="s">
        <v>47</v>
      </c>
      <c r="AF32" s="13" t="s">
        <v>47</v>
      </c>
      <c r="AG32" s="13" t="s">
        <v>47</v>
      </c>
      <c r="AH32" s="13" t="s">
        <v>47</v>
      </c>
      <c r="AI32" s="13" t="s">
        <v>47</v>
      </c>
      <c r="AJ32" s="13" t="s">
        <v>47</v>
      </c>
      <c r="AK32" s="13" t="s">
        <v>47</v>
      </c>
      <c r="AL32" s="13" t="s">
        <v>47</v>
      </c>
      <c r="AM32" s="13" t="s">
        <v>47</v>
      </c>
      <c r="AN32" s="13" t="s">
        <v>47</v>
      </c>
      <c r="AO32" s="13" t="s">
        <v>47</v>
      </c>
      <c r="AP32" s="13" t="s">
        <v>47</v>
      </c>
      <c r="AQ32" s="13" t="s">
        <v>47</v>
      </c>
      <c r="AR32" s="13" t="s">
        <v>47</v>
      </c>
      <c r="AS32" s="13" t="s">
        <v>47</v>
      </c>
      <c r="AT32" s="13" t="s">
        <v>47</v>
      </c>
      <c r="AU32" s="13" t="s">
        <v>47</v>
      </c>
      <c r="AV32" s="1">
        <f t="shared" si="10"/>
        <v>3</v>
      </c>
      <c r="AW32" s="1">
        <f t="shared" si="11"/>
        <v>1</v>
      </c>
      <c r="AX32" s="1">
        <f t="shared" si="12"/>
        <v>2</v>
      </c>
      <c r="AY32" s="1">
        <f t="shared" si="13"/>
        <v>0</v>
      </c>
      <c r="AZ32" s="21">
        <f t="shared" si="14"/>
        <v>0</v>
      </c>
      <c r="BA32" s="21">
        <f t="shared" si="17"/>
        <v>0</v>
      </c>
      <c r="BB32" s="1">
        <f t="shared" si="15"/>
        <v>3</v>
      </c>
      <c r="BC32" s="22">
        <f t="shared" si="16"/>
        <v>6.666666666666667</v>
      </c>
    </row>
    <row r="33" spans="1:55" x14ac:dyDescent="0.45">
      <c r="A33" s="10">
        <v>10</v>
      </c>
      <c r="B33" s="1" t="str">
        <f t="shared" si="9"/>
        <v>Қатпанов Жарас Нұрлұбекұлы</v>
      </c>
      <c r="C33" s="13"/>
      <c r="D33" s="13"/>
      <c r="E33" s="13"/>
      <c r="F33" s="13" t="s">
        <v>47</v>
      </c>
      <c r="G33" s="13" t="s">
        <v>47</v>
      </c>
      <c r="H33" s="13" t="s">
        <v>47</v>
      </c>
      <c r="I33" s="13" t="s">
        <v>47</v>
      </c>
      <c r="J33" s="13" t="s">
        <v>47</v>
      </c>
      <c r="K33" s="13" t="s">
        <v>47</v>
      </c>
      <c r="L33" s="13" t="s">
        <v>47</v>
      </c>
      <c r="M33" s="13" t="s">
        <v>47</v>
      </c>
      <c r="N33" s="13" t="s">
        <v>47</v>
      </c>
      <c r="O33" s="13" t="s">
        <v>47</v>
      </c>
      <c r="P33" s="13" t="s">
        <v>47</v>
      </c>
      <c r="Q33" s="13" t="s">
        <v>47</v>
      </c>
      <c r="R33" s="13" t="s">
        <v>47</v>
      </c>
      <c r="S33" s="13" t="s">
        <v>47</v>
      </c>
      <c r="T33" s="13" t="s">
        <v>47</v>
      </c>
      <c r="U33" s="13" t="s">
        <v>47</v>
      </c>
      <c r="V33" s="13" t="s">
        <v>47</v>
      </c>
      <c r="W33" s="13" t="s">
        <v>47</v>
      </c>
      <c r="X33" s="13" t="s">
        <v>47</v>
      </c>
      <c r="Y33" s="13" t="s">
        <v>47</v>
      </c>
      <c r="Z33" s="13" t="s">
        <v>47</v>
      </c>
      <c r="AA33" s="13" t="s">
        <v>47</v>
      </c>
      <c r="AB33" s="13" t="s">
        <v>47</v>
      </c>
      <c r="AC33" s="13" t="s">
        <v>47</v>
      </c>
      <c r="AD33" s="13" t="s">
        <v>47</v>
      </c>
      <c r="AE33" s="13" t="s">
        <v>47</v>
      </c>
      <c r="AF33" s="13" t="s">
        <v>47</v>
      </c>
      <c r="AG33" s="13" t="s">
        <v>47</v>
      </c>
      <c r="AH33" s="13" t="s">
        <v>47</v>
      </c>
      <c r="AI33" s="13" t="s">
        <v>47</v>
      </c>
      <c r="AJ33" s="13" t="s">
        <v>47</v>
      </c>
      <c r="AK33" s="13" t="s">
        <v>47</v>
      </c>
      <c r="AL33" s="13" t="s">
        <v>47</v>
      </c>
      <c r="AM33" s="13" t="s">
        <v>47</v>
      </c>
      <c r="AN33" s="13" t="s">
        <v>47</v>
      </c>
      <c r="AO33" s="13" t="s">
        <v>47</v>
      </c>
      <c r="AP33" s="13" t="s">
        <v>47</v>
      </c>
      <c r="AQ33" s="13" t="s">
        <v>47</v>
      </c>
      <c r="AR33" s="13" t="s">
        <v>47</v>
      </c>
      <c r="AS33" s="13" t="s">
        <v>47</v>
      </c>
      <c r="AT33" s="13" t="s">
        <v>47</v>
      </c>
      <c r="AU33" s="13" t="s">
        <v>47</v>
      </c>
      <c r="AV33" s="1">
        <f t="shared" si="10"/>
        <v>3</v>
      </c>
      <c r="AW33" s="1">
        <f t="shared" si="11"/>
        <v>1</v>
      </c>
      <c r="AX33" s="1">
        <f t="shared" si="12"/>
        <v>2</v>
      </c>
      <c r="AY33" s="1">
        <f t="shared" si="13"/>
        <v>0</v>
      </c>
      <c r="AZ33" s="21">
        <f t="shared" si="14"/>
        <v>0</v>
      </c>
      <c r="BA33" s="21">
        <f t="shared" si="17"/>
        <v>0</v>
      </c>
      <c r="BB33" s="1">
        <f t="shared" si="15"/>
        <v>3</v>
      </c>
      <c r="BC33" s="22">
        <f t="shared" si="16"/>
        <v>6.666666666666667</v>
      </c>
    </row>
    <row r="34" spans="1:55" x14ac:dyDescent="0.45">
      <c r="A34" s="10">
        <v>11</v>
      </c>
      <c r="B34" s="1" t="str">
        <f t="shared" si="9"/>
        <v>Мұратова Назылы Асхатқызы</v>
      </c>
      <c r="C34" s="13" t="s">
        <v>77</v>
      </c>
      <c r="D34" s="13" t="s">
        <v>77</v>
      </c>
      <c r="E34" s="13" t="s">
        <v>77</v>
      </c>
      <c r="F34" s="13" t="s">
        <v>47</v>
      </c>
      <c r="G34" s="13" t="s">
        <v>47</v>
      </c>
      <c r="H34" s="13" t="s">
        <v>47</v>
      </c>
      <c r="I34" s="13" t="s">
        <v>47</v>
      </c>
      <c r="J34" s="13" t="s">
        <v>47</v>
      </c>
      <c r="K34" s="13" t="s">
        <v>47</v>
      </c>
      <c r="L34" s="13" t="s">
        <v>47</v>
      </c>
      <c r="M34" s="13" t="s">
        <v>47</v>
      </c>
      <c r="N34" s="13" t="s">
        <v>47</v>
      </c>
      <c r="O34" s="13" t="s">
        <v>47</v>
      </c>
      <c r="P34" s="13" t="s">
        <v>47</v>
      </c>
      <c r="Q34" s="13" t="s">
        <v>47</v>
      </c>
      <c r="R34" s="13" t="s">
        <v>47</v>
      </c>
      <c r="S34" s="13" t="s">
        <v>47</v>
      </c>
      <c r="T34" s="13" t="s">
        <v>47</v>
      </c>
      <c r="U34" s="13" t="s">
        <v>47</v>
      </c>
      <c r="V34" s="13" t="s">
        <v>47</v>
      </c>
      <c r="W34" s="13" t="s">
        <v>47</v>
      </c>
      <c r="X34" s="13" t="s">
        <v>47</v>
      </c>
      <c r="Y34" s="13" t="s">
        <v>47</v>
      </c>
      <c r="Z34" s="13" t="s">
        <v>47</v>
      </c>
      <c r="AA34" s="13" t="s">
        <v>47</v>
      </c>
      <c r="AB34" s="13" t="s">
        <v>47</v>
      </c>
      <c r="AC34" s="13" t="s">
        <v>47</v>
      </c>
      <c r="AD34" s="13" t="s">
        <v>47</v>
      </c>
      <c r="AE34" s="13" t="s">
        <v>47</v>
      </c>
      <c r="AF34" s="13" t="s">
        <v>47</v>
      </c>
      <c r="AG34" s="13" t="s">
        <v>47</v>
      </c>
      <c r="AH34" s="13" t="s">
        <v>47</v>
      </c>
      <c r="AI34" s="13" t="s">
        <v>47</v>
      </c>
      <c r="AJ34" s="13" t="s">
        <v>47</v>
      </c>
      <c r="AK34" s="13" t="s">
        <v>47</v>
      </c>
      <c r="AL34" s="13" t="s">
        <v>47</v>
      </c>
      <c r="AM34" s="13" t="s">
        <v>47</v>
      </c>
      <c r="AN34" s="13" t="s">
        <v>47</v>
      </c>
      <c r="AO34" s="13" t="s">
        <v>47</v>
      </c>
      <c r="AP34" s="13" t="s">
        <v>47</v>
      </c>
      <c r="AQ34" s="13" t="s">
        <v>47</v>
      </c>
      <c r="AR34" s="13" t="s">
        <v>47</v>
      </c>
      <c r="AS34" s="13" t="s">
        <v>47</v>
      </c>
      <c r="AT34" s="13" t="s">
        <v>47</v>
      </c>
      <c r="AU34" s="13" t="s">
        <v>47</v>
      </c>
      <c r="AV34" s="1">
        <f t="shared" si="10"/>
        <v>0</v>
      </c>
      <c r="AW34" s="1">
        <f t="shared" si="11"/>
        <v>0</v>
      </c>
      <c r="AX34" s="1">
        <f t="shared" si="12"/>
        <v>0</v>
      </c>
      <c r="AY34" s="1">
        <f t="shared" si="13"/>
        <v>0</v>
      </c>
      <c r="AZ34" s="21">
        <f t="shared" si="14"/>
        <v>0</v>
      </c>
      <c r="BA34" s="21">
        <f t="shared" si="17"/>
        <v>0</v>
      </c>
      <c r="BB34" s="1">
        <f t="shared" si="15"/>
        <v>0</v>
      </c>
      <c r="BC34" s="22">
        <f t="shared" si="16"/>
        <v>0</v>
      </c>
    </row>
    <row r="35" spans="1:55" x14ac:dyDescent="0.45">
      <c r="A35" s="10">
        <v>12</v>
      </c>
      <c r="B35" s="1" t="str">
        <f t="shared" si="9"/>
        <v>Нургалиев Бақдәулет Ерланұлы</v>
      </c>
      <c r="C35" s="13" t="s">
        <v>77</v>
      </c>
      <c r="D35" s="13" t="s">
        <v>77</v>
      </c>
      <c r="E35" s="13" t="s">
        <v>77</v>
      </c>
      <c r="F35" s="13" t="s">
        <v>47</v>
      </c>
      <c r="G35" s="13" t="s">
        <v>47</v>
      </c>
      <c r="H35" s="13" t="s">
        <v>47</v>
      </c>
      <c r="I35" s="13" t="s">
        <v>47</v>
      </c>
      <c r="J35" s="13" t="s">
        <v>47</v>
      </c>
      <c r="K35" s="13" t="s">
        <v>47</v>
      </c>
      <c r="L35" s="13" t="s">
        <v>47</v>
      </c>
      <c r="M35" s="13" t="s">
        <v>47</v>
      </c>
      <c r="N35" s="13" t="s">
        <v>47</v>
      </c>
      <c r="O35" s="13" t="s">
        <v>47</v>
      </c>
      <c r="P35" s="13" t="s">
        <v>47</v>
      </c>
      <c r="Q35" s="13" t="s">
        <v>47</v>
      </c>
      <c r="R35" s="13" t="s">
        <v>47</v>
      </c>
      <c r="S35" s="13" t="s">
        <v>47</v>
      </c>
      <c r="T35" s="13" t="s">
        <v>47</v>
      </c>
      <c r="U35" s="13" t="s">
        <v>47</v>
      </c>
      <c r="V35" s="13" t="s">
        <v>47</v>
      </c>
      <c r="W35" s="13" t="s">
        <v>47</v>
      </c>
      <c r="X35" s="13" t="s">
        <v>47</v>
      </c>
      <c r="Y35" s="13" t="s">
        <v>47</v>
      </c>
      <c r="Z35" s="13" t="s">
        <v>47</v>
      </c>
      <c r="AA35" s="13" t="s">
        <v>47</v>
      </c>
      <c r="AB35" s="13" t="s">
        <v>47</v>
      </c>
      <c r="AC35" s="13" t="s">
        <v>47</v>
      </c>
      <c r="AD35" s="13" t="s">
        <v>47</v>
      </c>
      <c r="AE35" s="13" t="s">
        <v>47</v>
      </c>
      <c r="AF35" s="13" t="s">
        <v>47</v>
      </c>
      <c r="AG35" s="13" t="s">
        <v>47</v>
      </c>
      <c r="AH35" s="13" t="s">
        <v>47</v>
      </c>
      <c r="AI35" s="13" t="s">
        <v>47</v>
      </c>
      <c r="AJ35" s="13" t="s">
        <v>47</v>
      </c>
      <c r="AK35" s="13" t="s">
        <v>47</v>
      </c>
      <c r="AL35" s="13" t="s">
        <v>47</v>
      </c>
      <c r="AM35" s="13" t="s">
        <v>47</v>
      </c>
      <c r="AN35" s="13" t="s">
        <v>47</v>
      </c>
      <c r="AO35" s="13" t="s">
        <v>47</v>
      </c>
      <c r="AP35" s="13" t="s">
        <v>47</v>
      </c>
      <c r="AQ35" s="13" t="s">
        <v>47</v>
      </c>
      <c r="AR35" s="13" t="s">
        <v>47</v>
      </c>
      <c r="AS35" s="13" t="s">
        <v>47</v>
      </c>
      <c r="AT35" s="13" t="s">
        <v>47</v>
      </c>
      <c r="AU35" s="13" t="s">
        <v>47</v>
      </c>
      <c r="AV35" s="1">
        <f t="shared" si="10"/>
        <v>0</v>
      </c>
      <c r="AW35" s="1">
        <f t="shared" si="11"/>
        <v>0</v>
      </c>
      <c r="AX35" s="1">
        <f t="shared" si="12"/>
        <v>0</v>
      </c>
      <c r="AY35" s="1">
        <f t="shared" si="13"/>
        <v>0</v>
      </c>
      <c r="AZ35" s="21">
        <f t="shared" si="14"/>
        <v>0</v>
      </c>
      <c r="BA35" s="21">
        <f t="shared" si="17"/>
        <v>0</v>
      </c>
      <c r="BB35" s="1">
        <f t="shared" si="15"/>
        <v>0</v>
      </c>
      <c r="BC35" s="22">
        <f t="shared" si="16"/>
        <v>0</v>
      </c>
    </row>
    <row r="36" spans="1:55" x14ac:dyDescent="0.45">
      <c r="A36" s="10">
        <v>13</v>
      </c>
      <c r="B36" s="1" t="str">
        <f t="shared" si="9"/>
        <v>Нұрислам Айдана Қазыбекқызы</v>
      </c>
      <c r="C36" s="13" t="s">
        <v>77</v>
      </c>
      <c r="D36" s="13" t="s">
        <v>77</v>
      </c>
      <c r="E36" s="13" t="s">
        <v>77</v>
      </c>
      <c r="F36" s="13" t="s">
        <v>47</v>
      </c>
      <c r="G36" s="13" t="s">
        <v>47</v>
      </c>
      <c r="H36" s="13" t="s">
        <v>47</v>
      </c>
      <c r="I36" s="13" t="s">
        <v>47</v>
      </c>
      <c r="J36" s="13" t="s">
        <v>47</v>
      </c>
      <c r="K36" s="13" t="s">
        <v>47</v>
      </c>
      <c r="L36" s="13" t="s">
        <v>47</v>
      </c>
      <c r="M36" s="13" t="s">
        <v>47</v>
      </c>
      <c r="N36" s="13" t="s">
        <v>47</v>
      </c>
      <c r="O36" s="13" t="s">
        <v>47</v>
      </c>
      <c r="P36" s="13" t="s">
        <v>47</v>
      </c>
      <c r="Q36" s="13" t="s">
        <v>47</v>
      </c>
      <c r="R36" s="13" t="s">
        <v>47</v>
      </c>
      <c r="S36" s="13" t="s">
        <v>47</v>
      </c>
      <c r="T36" s="13" t="s">
        <v>47</v>
      </c>
      <c r="U36" s="13" t="s">
        <v>47</v>
      </c>
      <c r="V36" s="13" t="s">
        <v>47</v>
      </c>
      <c r="W36" s="13" t="s">
        <v>47</v>
      </c>
      <c r="X36" s="13" t="s">
        <v>47</v>
      </c>
      <c r="Y36" s="13" t="s">
        <v>47</v>
      </c>
      <c r="Z36" s="13" t="s">
        <v>47</v>
      </c>
      <c r="AA36" s="13" t="s">
        <v>47</v>
      </c>
      <c r="AB36" s="13" t="s">
        <v>47</v>
      </c>
      <c r="AC36" s="13" t="s">
        <v>47</v>
      </c>
      <c r="AD36" s="13" t="s">
        <v>47</v>
      </c>
      <c r="AE36" s="13" t="s">
        <v>47</v>
      </c>
      <c r="AF36" s="13" t="s">
        <v>47</v>
      </c>
      <c r="AG36" s="13" t="s">
        <v>47</v>
      </c>
      <c r="AH36" s="13" t="s">
        <v>47</v>
      </c>
      <c r="AI36" s="13" t="s">
        <v>47</v>
      </c>
      <c r="AJ36" s="13" t="s">
        <v>47</v>
      </c>
      <c r="AK36" s="13" t="s">
        <v>47</v>
      </c>
      <c r="AL36" s="13" t="s">
        <v>47</v>
      </c>
      <c r="AM36" s="13" t="s">
        <v>47</v>
      </c>
      <c r="AN36" s="13" t="s">
        <v>47</v>
      </c>
      <c r="AO36" s="13" t="s">
        <v>47</v>
      </c>
      <c r="AP36" s="13" t="s">
        <v>47</v>
      </c>
      <c r="AQ36" s="13" t="s">
        <v>47</v>
      </c>
      <c r="AR36" s="13" t="s">
        <v>47</v>
      </c>
      <c r="AS36" s="13" t="s">
        <v>47</v>
      </c>
      <c r="AT36" s="13" t="s">
        <v>47</v>
      </c>
      <c r="AU36" s="13" t="s">
        <v>47</v>
      </c>
      <c r="AV36" s="1">
        <f t="shared" si="10"/>
        <v>0</v>
      </c>
      <c r="AW36" s="1">
        <f t="shared" si="11"/>
        <v>0</v>
      </c>
      <c r="AX36" s="1">
        <f t="shared" si="12"/>
        <v>0</v>
      </c>
      <c r="AY36" s="1">
        <f t="shared" si="13"/>
        <v>0</v>
      </c>
      <c r="AZ36" s="21">
        <f t="shared" si="14"/>
        <v>0</v>
      </c>
      <c r="BA36" s="21">
        <f t="shared" si="17"/>
        <v>0</v>
      </c>
      <c r="BB36" s="1">
        <f t="shared" si="15"/>
        <v>0</v>
      </c>
      <c r="BC36" s="22">
        <f t="shared" si="16"/>
        <v>0</v>
      </c>
    </row>
    <row r="37" spans="1:55" x14ac:dyDescent="0.45">
      <c r="A37" s="10">
        <v>14</v>
      </c>
      <c r="B37" s="1" t="str">
        <f t="shared" si="9"/>
        <v xml:space="preserve">Рақымжанұлы Ералы </v>
      </c>
      <c r="C37" s="13" t="s">
        <v>77</v>
      </c>
      <c r="D37" s="13" t="s">
        <v>77</v>
      </c>
      <c r="E37" s="13" t="s">
        <v>77</v>
      </c>
      <c r="F37" s="13" t="s">
        <v>47</v>
      </c>
      <c r="G37" s="13" t="s">
        <v>47</v>
      </c>
      <c r="H37" s="13" t="s">
        <v>47</v>
      </c>
      <c r="I37" s="13" t="s">
        <v>47</v>
      </c>
      <c r="J37" s="13" t="s">
        <v>47</v>
      </c>
      <c r="K37" s="13" t="s">
        <v>47</v>
      </c>
      <c r="L37" s="13" t="s">
        <v>47</v>
      </c>
      <c r="M37" s="13" t="s">
        <v>47</v>
      </c>
      <c r="N37" s="13" t="s">
        <v>47</v>
      </c>
      <c r="O37" s="13" t="s">
        <v>47</v>
      </c>
      <c r="P37" s="13" t="s">
        <v>47</v>
      </c>
      <c r="Q37" s="13" t="s">
        <v>47</v>
      </c>
      <c r="R37" s="13" t="s">
        <v>47</v>
      </c>
      <c r="S37" s="13" t="s">
        <v>47</v>
      </c>
      <c r="T37" s="13" t="s">
        <v>47</v>
      </c>
      <c r="U37" s="13" t="s">
        <v>47</v>
      </c>
      <c r="V37" s="13" t="s">
        <v>47</v>
      </c>
      <c r="W37" s="13" t="s">
        <v>47</v>
      </c>
      <c r="X37" s="13" t="s">
        <v>47</v>
      </c>
      <c r="Y37" s="13" t="s">
        <v>47</v>
      </c>
      <c r="Z37" s="13" t="s">
        <v>47</v>
      </c>
      <c r="AA37" s="13" t="s">
        <v>47</v>
      </c>
      <c r="AB37" s="13" t="s">
        <v>47</v>
      </c>
      <c r="AC37" s="13" t="s">
        <v>47</v>
      </c>
      <c r="AD37" s="13" t="s">
        <v>47</v>
      </c>
      <c r="AE37" s="13" t="s">
        <v>47</v>
      </c>
      <c r="AF37" s="13" t="s">
        <v>47</v>
      </c>
      <c r="AG37" s="13" t="s">
        <v>78</v>
      </c>
      <c r="AH37" s="13"/>
      <c r="AI37" s="13"/>
      <c r="AJ37" s="13" t="s">
        <v>47</v>
      </c>
      <c r="AK37" s="13" t="s">
        <v>47</v>
      </c>
      <c r="AL37" s="13" t="s">
        <v>47</v>
      </c>
      <c r="AM37" s="13" t="s">
        <v>47</v>
      </c>
      <c r="AN37" s="13" t="s">
        <v>47</v>
      </c>
      <c r="AO37" s="13" t="s">
        <v>47</v>
      </c>
      <c r="AP37" s="13" t="s">
        <v>47</v>
      </c>
      <c r="AQ37" s="13" t="s">
        <v>47</v>
      </c>
      <c r="AR37" s="13" t="s">
        <v>47</v>
      </c>
      <c r="AS37" s="13" t="s">
        <v>47</v>
      </c>
      <c r="AT37" s="13" t="s">
        <v>47</v>
      </c>
      <c r="AU37" s="13" t="s">
        <v>47</v>
      </c>
      <c r="AV37" s="1">
        <f t="shared" si="10"/>
        <v>0</v>
      </c>
      <c r="AW37" s="1">
        <f t="shared" si="11"/>
        <v>0</v>
      </c>
      <c r="AX37" s="1">
        <f t="shared" si="12"/>
        <v>0</v>
      </c>
      <c r="AY37" s="1">
        <f t="shared" si="13"/>
        <v>2</v>
      </c>
      <c r="AZ37" s="1">
        <f t="shared" si="14"/>
        <v>1</v>
      </c>
      <c r="BA37" s="1">
        <f t="shared" si="17"/>
        <v>1</v>
      </c>
      <c r="BB37" s="1">
        <f t="shared" si="15"/>
        <v>2</v>
      </c>
      <c r="BC37" s="22">
        <f t="shared" si="16"/>
        <v>4.4444444444444446</v>
      </c>
    </row>
    <row r="38" spans="1:55" ht="14.65" thickBot="1" x14ac:dyDescent="0.5">
      <c r="A38" s="11"/>
      <c r="B38" s="12" t="s">
        <v>17</v>
      </c>
      <c r="C38" s="12">
        <f>COUNTIF(C24:C37, "+")</f>
        <v>7</v>
      </c>
      <c r="D38" s="12">
        <f t="shared" ref="D38:AU38" si="18">COUNTIF(D24:D37, "+")</f>
        <v>7</v>
      </c>
      <c r="E38" s="12">
        <f t="shared" si="18"/>
        <v>7</v>
      </c>
      <c r="F38" s="12">
        <f t="shared" si="18"/>
        <v>0</v>
      </c>
      <c r="G38" s="12">
        <f t="shared" si="18"/>
        <v>0</v>
      </c>
      <c r="H38" s="12">
        <f t="shared" si="18"/>
        <v>0</v>
      </c>
      <c r="I38" s="12">
        <f t="shared" si="18"/>
        <v>0</v>
      </c>
      <c r="J38" s="12">
        <f t="shared" si="18"/>
        <v>0</v>
      </c>
      <c r="K38" s="12">
        <f t="shared" si="18"/>
        <v>0</v>
      </c>
      <c r="L38" s="12">
        <f t="shared" si="18"/>
        <v>0</v>
      </c>
      <c r="M38" s="12">
        <f t="shared" si="18"/>
        <v>0</v>
      </c>
      <c r="N38" s="12">
        <f t="shared" si="18"/>
        <v>0</v>
      </c>
      <c r="O38" s="12">
        <f t="shared" si="18"/>
        <v>0</v>
      </c>
      <c r="P38" s="12">
        <f t="shared" si="18"/>
        <v>0</v>
      </c>
      <c r="Q38" s="12">
        <f t="shared" si="18"/>
        <v>0</v>
      </c>
      <c r="R38" s="12">
        <f t="shared" si="18"/>
        <v>0</v>
      </c>
      <c r="S38" s="12">
        <f t="shared" si="18"/>
        <v>0</v>
      </c>
      <c r="T38" s="12">
        <f t="shared" si="18"/>
        <v>0</v>
      </c>
      <c r="U38" s="12">
        <f t="shared" si="18"/>
        <v>0</v>
      </c>
      <c r="V38" s="12">
        <f t="shared" si="18"/>
        <v>0</v>
      </c>
      <c r="W38" s="12">
        <f t="shared" si="18"/>
        <v>0</v>
      </c>
      <c r="X38" s="12">
        <f t="shared" si="18"/>
        <v>0</v>
      </c>
      <c r="Y38" s="12">
        <f t="shared" si="18"/>
        <v>0</v>
      </c>
      <c r="Z38" s="12">
        <f t="shared" si="18"/>
        <v>0</v>
      </c>
      <c r="AA38" s="12">
        <f t="shared" si="18"/>
        <v>0</v>
      </c>
      <c r="AB38" s="12">
        <f t="shared" si="18"/>
        <v>0</v>
      </c>
      <c r="AC38" s="12">
        <f t="shared" si="18"/>
        <v>0</v>
      </c>
      <c r="AD38" s="12">
        <f t="shared" si="18"/>
        <v>0</v>
      </c>
      <c r="AE38" s="12">
        <f t="shared" si="18"/>
        <v>0</v>
      </c>
      <c r="AF38" s="12">
        <f t="shared" si="18"/>
        <v>0</v>
      </c>
      <c r="AG38" s="12">
        <f t="shared" si="18"/>
        <v>0</v>
      </c>
      <c r="AH38" s="12">
        <f t="shared" si="18"/>
        <v>0</v>
      </c>
      <c r="AI38" s="12">
        <f t="shared" si="18"/>
        <v>0</v>
      </c>
      <c r="AJ38" s="12">
        <f t="shared" si="18"/>
        <v>0</v>
      </c>
      <c r="AK38" s="12">
        <f t="shared" si="18"/>
        <v>0</v>
      </c>
      <c r="AL38" s="12">
        <f t="shared" si="18"/>
        <v>0</v>
      </c>
      <c r="AM38" s="12">
        <f t="shared" si="18"/>
        <v>0</v>
      </c>
      <c r="AN38" s="12">
        <f t="shared" si="18"/>
        <v>0</v>
      </c>
      <c r="AO38" s="12">
        <f t="shared" si="18"/>
        <v>0</v>
      </c>
      <c r="AP38" s="12">
        <f t="shared" si="18"/>
        <v>0</v>
      </c>
      <c r="AQ38" s="12">
        <f t="shared" si="18"/>
        <v>0</v>
      </c>
      <c r="AR38" s="12">
        <f t="shared" si="18"/>
        <v>0</v>
      </c>
      <c r="AS38" s="12">
        <f t="shared" si="18"/>
        <v>0</v>
      </c>
      <c r="AT38" s="12">
        <f t="shared" si="18"/>
        <v>0</v>
      </c>
      <c r="AU38" s="12">
        <f t="shared" si="18"/>
        <v>0</v>
      </c>
      <c r="BC38" s="20"/>
    </row>
  </sheetData>
  <mergeCells count="20">
    <mergeCell ref="O21:Q21"/>
    <mergeCell ref="R21:T21"/>
    <mergeCell ref="U21:W21"/>
    <mergeCell ref="X21:Z21"/>
    <mergeCell ref="AA21:AC21"/>
    <mergeCell ref="C2:J2"/>
    <mergeCell ref="C21:E21"/>
    <mergeCell ref="F21:H21"/>
    <mergeCell ref="I21:K21"/>
    <mergeCell ref="L21:N21"/>
    <mergeCell ref="R22:T22"/>
    <mergeCell ref="BB21:BC21"/>
    <mergeCell ref="AJ21:AL21"/>
    <mergeCell ref="AM21:AO21"/>
    <mergeCell ref="AP21:AR21"/>
    <mergeCell ref="AS21:AU21"/>
    <mergeCell ref="AV21:AX21"/>
    <mergeCell ref="AY21:BA21"/>
    <mergeCell ref="AG21:AI21"/>
    <mergeCell ref="AD21:AF21"/>
  </mergeCells>
  <conditionalFormatting sqref="C24:AU37">
    <cfRule type="cellIs" dxfId="1" priority="1" operator="equal">
      <formula>"+"</formula>
    </cfRule>
  </conditionalFormatting>
  <conditionalFormatting sqref="BC24:BC38">
    <cfRule type="cellIs" dxfId="0" priority="2" operator="greater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Программа</vt:lpstr>
      <vt:lpstr>23-MK</vt:lpstr>
      <vt:lpstr>23-MKK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AGCTPC</dc:creator>
  <cp:lastModifiedBy>User</cp:lastModifiedBy>
  <dcterms:created xsi:type="dcterms:W3CDTF">2015-06-05T18:17:20Z</dcterms:created>
  <dcterms:modified xsi:type="dcterms:W3CDTF">2026-09-13T14:00:13Z</dcterms:modified>
</cp:coreProperties>
</file>